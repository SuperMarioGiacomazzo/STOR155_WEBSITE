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dminliveunc-my.sharepoint.com/personal/wlassite_ad_unc_edu/Documents/Documents/UNC Teaching/155/Lectures/Lecture 14/"/>
    </mc:Choice>
  </mc:AlternateContent>
  <xr:revisionPtr revIDLastSave="18" documentId="13_ncr:1_{2CB905A7-41C6-4C39-B415-72FA8C116975}" xr6:coauthVersionLast="47" xr6:coauthVersionMax="47" xr10:uidLastSave="{4BE40138-4CAD-4561-8FB8-9AC38DDA18F9}"/>
  <bookViews>
    <workbookView xWindow="-98" yWindow="-98" windowWidth="20715" windowHeight="13155" xr2:uid="{06AB25E9-3E64-4075-A535-7B985B5197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1" l="1"/>
  <c r="F4" i="1" s="1"/>
  <c r="D4" i="1"/>
  <c r="E4" i="1"/>
  <c r="C5" i="1"/>
  <c r="F5" i="1" s="1"/>
  <c r="D5" i="1"/>
  <c r="E5" i="1"/>
  <c r="C6" i="1"/>
  <c r="F6" i="1" s="1"/>
  <c r="D6" i="1"/>
  <c r="E6" i="1"/>
  <c r="C7" i="1"/>
  <c r="F7" i="1" s="1"/>
  <c r="D7" i="1"/>
  <c r="E7" i="1"/>
  <c r="C8" i="1"/>
  <c r="F8" i="1" s="1"/>
  <c r="D8" i="1"/>
  <c r="E8" i="1"/>
  <c r="C9" i="1"/>
  <c r="F9" i="1" s="1"/>
  <c r="D9" i="1"/>
  <c r="E9" i="1"/>
  <c r="C10" i="1"/>
  <c r="F10" i="1" s="1"/>
  <c r="D10" i="1"/>
  <c r="E10" i="1"/>
  <c r="C11" i="1"/>
  <c r="F11" i="1" s="1"/>
  <c r="D11" i="1"/>
  <c r="E11" i="1"/>
  <c r="C12" i="1"/>
  <c r="F12" i="1" s="1"/>
  <c r="D12" i="1"/>
  <c r="E12" i="1"/>
  <c r="C13" i="1"/>
  <c r="F13" i="1" s="1"/>
  <c r="D13" i="1"/>
  <c r="E13" i="1"/>
  <c r="C14" i="1"/>
  <c r="F14" i="1" s="1"/>
  <c r="D14" i="1"/>
  <c r="E14" i="1"/>
  <c r="C15" i="1"/>
  <c r="F15" i="1" s="1"/>
  <c r="D15" i="1"/>
  <c r="E15" i="1"/>
  <c r="C16" i="1"/>
  <c r="F16" i="1" s="1"/>
  <c r="D16" i="1"/>
  <c r="E16" i="1"/>
  <c r="F3" i="1"/>
  <c r="E3" i="1"/>
  <c r="D3" i="1"/>
  <c r="C3" i="1"/>
</calcChain>
</file>

<file path=xl/sharedStrings.xml><?xml version="1.0" encoding="utf-8"?>
<sst xmlns="http://schemas.openxmlformats.org/spreadsheetml/2006/main" count="8" uniqueCount="7">
  <si>
    <t>n</t>
  </si>
  <si>
    <t>p</t>
  </si>
  <si>
    <t>mean</t>
  </si>
  <si>
    <t>std dev</t>
  </si>
  <si>
    <t>Exact</t>
  </si>
  <si>
    <t>Approximate</t>
  </si>
  <si>
    <t>P(X&lt;=mean)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</si>
</sst>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B63B1-28B1-4160-8BD8-0EBE200B10D3}">
  <dimension ref="A1:F16"/>
  <sheetViews>
    <sheetView tabSelected="1" zoomScale="132" workbookViewId="0">
      <selection activeCell="E17" sqref="E17"/>
    </sheetView>
  </sheetViews>
  <sheetFormatPr defaultRowHeight="18" x14ac:dyDescent="0.55000000000000004"/>
  <cols>
    <col min="1" max="1" width="12.46484375" style="1" customWidth="1"/>
    <col min="2" max="2" width="8.73046875" style="1"/>
    <col min="3" max="3" width="9.06640625" style="1"/>
    <col min="4" max="4" width="9.73046875" style="1" customWidth="1"/>
    <col min="5" max="5" width="13.53125" style="3" customWidth="1"/>
    <col min="6" max="6" width="17.9296875" style="3" customWidth="1"/>
    <col min="8" max="8" width="13.46484375" customWidth="1"/>
    <col min="10" max="10" width="11.59765625" bestFit="1" customWidth="1"/>
    <col min="14" max="14" width="0.19921875" customWidth="1"/>
  </cols>
  <sheetData>
    <row r="1" spans="1:6" x14ac:dyDescent="0.55000000000000004">
      <c r="E1" s="3" t="s">
        <v>4</v>
      </c>
      <c r="F1" s="3" t="s">
        <v>5</v>
      </c>
    </row>
    <row r="2" spans="1:6" s="2" customFormat="1" x14ac:dyDescent="0.55000000000000004">
      <c r="A2" s="1" t="s">
        <v>0</v>
      </c>
      <c r="B2" s="1" t="s">
        <v>1</v>
      </c>
      <c r="C2" s="1" t="s">
        <v>2</v>
      </c>
      <c r="D2" s="1" t="s">
        <v>3</v>
      </c>
      <c r="E2" s="3" t="s">
        <v>6</v>
      </c>
      <c r="F2" s="3" t="s">
        <v>6</v>
      </c>
    </row>
    <row r="3" spans="1:6" x14ac:dyDescent="0.55000000000000004">
      <c r="A3" s="1">
        <v>10</v>
      </c>
      <c r="B3" s="1">
        <v>0.1</v>
      </c>
      <c r="C3" s="1">
        <f>A3*B3</f>
        <v>1</v>
      </c>
      <c r="D3" s="1">
        <f>SQRT(A3*B3*(1-B3))</f>
        <v>0.94868329805051377</v>
      </c>
      <c r="E3" s="3">
        <f>_xlfn.BINOM.DIST(C3,A3,B3,TRUE)</f>
        <v>0.73609892909999997</v>
      </c>
      <c r="F3" s="4">
        <f>_xlfn.NORM.DIST(C3,C3,D3,TRUE)</f>
        <v>0.5</v>
      </c>
    </row>
    <row r="4" spans="1:6" x14ac:dyDescent="0.55000000000000004">
      <c r="A4" s="1">
        <v>20</v>
      </c>
      <c r="B4" s="1">
        <v>0.1</v>
      </c>
      <c r="C4" s="1">
        <f t="shared" ref="C4:C16" si="0">A4*B4</f>
        <v>2</v>
      </c>
      <c r="D4" s="1">
        <f t="shared" ref="D4:D16" si="1">SQRT(A4*B4*(1-B4))</f>
        <v>1.3416407864998738</v>
      </c>
      <c r="E4" s="3">
        <f t="shared" ref="E4:E16" si="2">_xlfn.BINOM.DIST(C4,A4,B4,TRUE)</f>
        <v>0.67692680518946591</v>
      </c>
      <c r="F4" s="4">
        <f t="shared" ref="F4:F16" si="3">_xlfn.NORM.DIST(C4,C4,D4,TRUE)</f>
        <v>0.5</v>
      </c>
    </row>
    <row r="5" spans="1:6" x14ac:dyDescent="0.55000000000000004">
      <c r="A5" s="1">
        <v>30</v>
      </c>
      <c r="B5" s="1">
        <v>0.1</v>
      </c>
      <c r="C5" s="1">
        <f t="shared" si="0"/>
        <v>3</v>
      </c>
      <c r="D5" s="1">
        <f t="shared" si="1"/>
        <v>1.6431676725154984</v>
      </c>
      <c r="E5" s="3">
        <f t="shared" si="2"/>
        <v>0.64743917179184818</v>
      </c>
      <c r="F5" s="4">
        <f t="shared" si="3"/>
        <v>0.5</v>
      </c>
    </row>
    <row r="6" spans="1:6" x14ac:dyDescent="0.55000000000000004">
      <c r="A6" s="1">
        <v>40</v>
      </c>
      <c r="B6" s="1">
        <v>0.1</v>
      </c>
      <c r="C6" s="1">
        <f t="shared" si="0"/>
        <v>4</v>
      </c>
      <c r="D6" s="1">
        <f t="shared" si="1"/>
        <v>1.8973665961010275</v>
      </c>
      <c r="E6" s="3">
        <f t="shared" si="2"/>
        <v>0.62901769653420136</v>
      </c>
      <c r="F6" s="4">
        <f t="shared" si="3"/>
        <v>0.5</v>
      </c>
    </row>
    <row r="7" spans="1:6" x14ac:dyDescent="0.55000000000000004">
      <c r="A7" s="1">
        <v>50</v>
      </c>
      <c r="B7" s="1">
        <v>0.1</v>
      </c>
      <c r="C7" s="1">
        <f t="shared" si="0"/>
        <v>5</v>
      </c>
      <c r="D7" s="1">
        <f t="shared" si="1"/>
        <v>2.1213203435596424</v>
      </c>
      <c r="E7" s="3">
        <f t="shared" si="2"/>
        <v>0.61612300772427675</v>
      </c>
      <c r="F7" s="4">
        <f t="shared" si="3"/>
        <v>0.5</v>
      </c>
    </row>
    <row r="8" spans="1:6" x14ac:dyDescent="0.55000000000000004">
      <c r="A8" s="1">
        <v>60</v>
      </c>
      <c r="B8" s="1">
        <v>0.1</v>
      </c>
      <c r="C8" s="1">
        <f t="shared" si="0"/>
        <v>6</v>
      </c>
      <c r="D8" s="1">
        <f t="shared" si="1"/>
        <v>2.3237900077244502</v>
      </c>
      <c r="E8" s="3">
        <f t="shared" si="2"/>
        <v>0.6064514021008609</v>
      </c>
      <c r="F8" s="4">
        <f t="shared" si="3"/>
        <v>0.5</v>
      </c>
    </row>
    <row r="9" spans="1:6" x14ac:dyDescent="0.55000000000000004">
      <c r="A9" s="1">
        <v>70</v>
      </c>
      <c r="B9" s="1">
        <v>0.1</v>
      </c>
      <c r="C9" s="1">
        <f t="shared" si="0"/>
        <v>7</v>
      </c>
      <c r="D9" s="1">
        <f t="shared" si="1"/>
        <v>2.5099800796022267</v>
      </c>
      <c r="E9" s="3">
        <f t="shared" si="2"/>
        <v>0.59885170407327881</v>
      </c>
      <c r="F9" s="4">
        <f t="shared" si="3"/>
        <v>0.5</v>
      </c>
    </row>
    <row r="10" spans="1:6" x14ac:dyDescent="0.55000000000000004">
      <c r="A10" s="1">
        <v>80</v>
      </c>
      <c r="B10" s="1">
        <v>0.1</v>
      </c>
      <c r="C10" s="1">
        <f t="shared" si="0"/>
        <v>8</v>
      </c>
      <c r="D10" s="1">
        <f t="shared" si="1"/>
        <v>2.6832815729997477</v>
      </c>
      <c r="E10" s="3">
        <f t="shared" si="2"/>
        <v>0.59267649784345533</v>
      </c>
      <c r="F10" s="4">
        <f t="shared" si="3"/>
        <v>0.5</v>
      </c>
    </row>
    <row r="11" spans="1:6" x14ac:dyDescent="0.55000000000000004">
      <c r="A11" s="1">
        <v>90</v>
      </c>
      <c r="B11" s="1">
        <v>0.1</v>
      </c>
      <c r="C11" s="1">
        <f t="shared" si="0"/>
        <v>9</v>
      </c>
      <c r="D11" s="1">
        <f t="shared" si="1"/>
        <v>2.8460498941515415</v>
      </c>
      <c r="E11" s="3">
        <f t="shared" si="2"/>
        <v>0.58753015527092645</v>
      </c>
      <c r="F11" s="4">
        <f t="shared" si="3"/>
        <v>0.5</v>
      </c>
    </row>
    <row r="12" spans="1:6" x14ac:dyDescent="0.55000000000000004">
      <c r="A12" s="1">
        <v>100</v>
      </c>
      <c r="B12" s="1">
        <v>0.1</v>
      </c>
      <c r="C12" s="1">
        <f t="shared" si="0"/>
        <v>10</v>
      </c>
      <c r="D12" s="1">
        <f t="shared" si="1"/>
        <v>3</v>
      </c>
      <c r="E12" s="3">
        <f t="shared" si="2"/>
        <v>0.58315551226649132</v>
      </c>
      <c r="F12" s="4">
        <f t="shared" si="3"/>
        <v>0.5</v>
      </c>
    </row>
    <row r="13" spans="1:6" x14ac:dyDescent="0.55000000000000004">
      <c r="A13" s="1">
        <v>1000</v>
      </c>
      <c r="B13" s="1">
        <v>0.1</v>
      </c>
      <c r="C13" s="1">
        <f t="shared" si="0"/>
        <v>100</v>
      </c>
      <c r="D13" s="1">
        <f t="shared" si="1"/>
        <v>9.4868329805051381</v>
      </c>
      <c r="E13" s="3">
        <f t="shared" si="2"/>
        <v>0.52659908129516464</v>
      </c>
      <c r="F13" s="4">
        <f t="shared" si="3"/>
        <v>0.5</v>
      </c>
    </row>
    <row r="14" spans="1:6" x14ac:dyDescent="0.55000000000000004">
      <c r="A14" s="1">
        <v>10000</v>
      </c>
      <c r="B14" s="1">
        <v>0.1</v>
      </c>
      <c r="C14" s="1">
        <f t="shared" si="0"/>
        <v>1000</v>
      </c>
      <c r="D14" s="1">
        <f t="shared" si="1"/>
        <v>30</v>
      </c>
      <c r="E14" s="3">
        <f t="shared" si="2"/>
        <v>0.50842103926526505</v>
      </c>
      <c r="F14" s="4">
        <f t="shared" si="3"/>
        <v>0.5</v>
      </c>
    </row>
    <row r="15" spans="1:6" x14ac:dyDescent="0.55000000000000004">
      <c r="A15" s="1">
        <v>100000</v>
      </c>
      <c r="B15" s="1">
        <v>0.1</v>
      </c>
      <c r="C15" s="1">
        <f t="shared" si="0"/>
        <v>10000</v>
      </c>
      <c r="D15" s="1">
        <f t="shared" si="1"/>
        <v>94.868329805051374</v>
      </c>
      <c r="E15" s="3">
        <f t="shared" si="2"/>
        <v>0.50266327253662424</v>
      </c>
      <c r="F15" s="4">
        <f t="shared" si="3"/>
        <v>0.5</v>
      </c>
    </row>
    <row r="16" spans="1:6" x14ac:dyDescent="0.55000000000000004">
      <c r="A16" s="1">
        <v>1000000</v>
      </c>
      <c r="B16" s="1">
        <v>0.1</v>
      </c>
      <c r="C16" s="1">
        <f t="shared" si="0"/>
        <v>100000</v>
      </c>
      <c r="D16" s="1">
        <f t="shared" si="1"/>
        <v>300</v>
      </c>
      <c r="E16" s="3">
        <f t="shared" si="2"/>
        <v>0.50084221040520149</v>
      </c>
      <c r="F16" s="4">
        <f t="shared" si="3"/>
        <v>0.5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 Mario</dc:creator>
  <cp:lastModifiedBy>Lassiter, William B</cp:lastModifiedBy>
  <dcterms:created xsi:type="dcterms:W3CDTF">2019-06-05T15:05:07Z</dcterms:created>
  <dcterms:modified xsi:type="dcterms:W3CDTF">2023-10-30T13:23:07Z</dcterms:modified>
</cp:coreProperties>
</file>