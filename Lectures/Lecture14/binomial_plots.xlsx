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wlassite_ad_unc_edu/Documents/Documents/UNC Teaching/155/Materials for Sharing/Lecture Notes and Slides/Lecture 14 Binomial Distribution/"/>
    </mc:Choice>
  </mc:AlternateContent>
  <xr:revisionPtr revIDLastSave="70" documentId="8_{0C96199A-105A-4A6C-9467-D06C37C859C7}" xr6:coauthVersionLast="47" xr6:coauthVersionMax="47" xr10:uidLastSave="{4776F6CA-6B24-4063-AB3C-28E85E4C6A20}"/>
  <bookViews>
    <workbookView xWindow="-110" yWindow="-110" windowWidth="19420" windowHeight="11500" activeTab="1" xr2:uid="{AA93584C-5E79-4AC1-BD4B-9E32B1F6DF20}"/>
  </bookViews>
  <sheets>
    <sheet name="20 trials" sheetId="1" r:id="rId1"/>
    <sheet name="100 tri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4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4" i="2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6" i="1"/>
</calcChain>
</file>

<file path=xl/sharedStrings.xml><?xml version="1.0" encoding="utf-8"?>
<sst xmlns="http://schemas.openxmlformats.org/spreadsheetml/2006/main" count="19" uniqueCount="9">
  <si>
    <t>Binomial Probability Plots</t>
  </si>
  <si>
    <t>x_i</t>
  </si>
  <si>
    <t>p_i</t>
  </si>
  <si>
    <t>Binomial(20,0.2)</t>
  </si>
  <si>
    <t>Binomial(20,0.5)</t>
  </si>
  <si>
    <t>Binomial(20,0.8)</t>
  </si>
  <si>
    <t>Binomial(100,0.2)</t>
  </si>
  <si>
    <t>Binomial(100,0.5)</t>
  </si>
  <si>
    <t>Binomial(100,0.8)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</si>
</sst>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Binomial</a:t>
            </a:r>
            <a:r>
              <a:rPr lang="en-US" baseline="0"/>
              <a:t>(20,0.2)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'20 trials'!$A$6:$A$26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'20 trials'!$B$6:$B$26</c:f>
              <c:numCache>
                <c:formatCode>General</c:formatCode>
                <c:ptCount val="21"/>
                <c:pt idx="0">
                  <c:v>1.1529215046068471E-2</c:v>
                </c:pt>
                <c:pt idx="1">
                  <c:v>5.7646075230342327E-2</c:v>
                </c:pt>
                <c:pt idx="2">
                  <c:v>0.1369094286720631</c:v>
                </c:pt>
                <c:pt idx="3">
                  <c:v>0.20536414300809455</c:v>
                </c:pt>
                <c:pt idx="4">
                  <c:v>0.21819940194610055</c:v>
                </c:pt>
                <c:pt idx="5">
                  <c:v>0.17455952155688043</c:v>
                </c:pt>
                <c:pt idx="6">
                  <c:v>0.1090997009730503</c:v>
                </c:pt>
                <c:pt idx="7">
                  <c:v>5.4549850486525116E-2</c:v>
                </c:pt>
                <c:pt idx="8">
                  <c:v>2.2160876760150834E-2</c:v>
                </c:pt>
                <c:pt idx="9">
                  <c:v>7.386958920050278E-3</c:v>
                </c:pt>
                <c:pt idx="10">
                  <c:v>2.0314137030138252E-3</c:v>
                </c:pt>
                <c:pt idx="11">
                  <c:v>4.6168493250314227E-4</c:v>
                </c:pt>
                <c:pt idx="12">
                  <c:v>8.6565924844339142E-5</c:v>
                </c:pt>
                <c:pt idx="13">
                  <c:v>1.3317834591436786E-5</c:v>
                </c:pt>
                <c:pt idx="14">
                  <c:v>1.6647293239295963E-6</c:v>
                </c:pt>
                <c:pt idx="15">
                  <c:v>1.6647293239296003E-7</c:v>
                </c:pt>
                <c:pt idx="16">
                  <c:v>1.3005697843199991E-8</c:v>
                </c:pt>
                <c:pt idx="17">
                  <c:v>7.6504104960000131E-10</c:v>
                </c:pt>
                <c:pt idx="18">
                  <c:v>3.1876710399999934E-11</c:v>
                </c:pt>
                <c:pt idx="19">
                  <c:v>8.3886079999999927E-13</c:v>
                </c:pt>
                <c:pt idx="20">
                  <c:v>1.048576000000001E-14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53-4910-AD51-E4417E7E0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453119"/>
        <c:axId val="835449759"/>
      </c:barChart>
      <c:catAx>
        <c:axId val="83545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449759"/>
        <c:crosses val="autoZero"/>
        <c:auto val="1"/>
        <c:lblAlgn val="ctr"/>
        <c:lblOffset val="100"/>
        <c:noMultiLvlLbl val="0"/>
      </c:catAx>
      <c:valAx>
        <c:axId val="83544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45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Binomial(20,0.8)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'20 trials'!$G$6:$G$26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'20 trials'!$H$6:$H$26</c:f>
              <c:numCache>
                <c:formatCode>General</c:formatCode>
                <c:ptCount val="21"/>
                <c:pt idx="0">
                  <c:v>1.048576000000001E-14</c:v>
                </c:pt>
                <c:pt idx="1">
                  <c:v>8.3886079999999331E-13</c:v>
                </c:pt>
                <c:pt idx="2">
                  <c:v>3.1876710399999934E-11</c:v>
                </c:pt>
                <c:pt idx="3">
                  <c:v>7.6504104959999862E-10</c:v>
                </c:pt>
                <c:pt idx="4">
                  <c:v>1.3005697843199945E-8</c:v>
                </c:pt>
                <c:pt idx="5">
                  <c:v>1.6647293239295945E-7</c:v>
                </c:pt>
                <c:pt idx="6">
                  <c:v>1.6647293239295904E-6</c:v>
                </c:pt>
                <c:pt idx="7">
                  <c:v>1.3317834591436762E-5</c:v>
                </c:pt>
                <c:pt idx="8">
                  <c:v>8.6565924844338843E-5</c:v>
                </c:pt>
                <c:pt idx="9">
                  <c:v>4.6168493250314189E-4</c:v>
                </c:pt>
                <c:pt idx="10">
                  <c:v>2.0314137030138235E-3</c:v>
                </c:pt>
                <c:pt idx="11">
                  <c:v>7.3869589200502694E-3</c:v>
                </c:pt>
                <c:pt idx="12">
                  <c:v>2.2160876760150813E-2</c:v>
                </c:pt>
                <c:pt idx="13">
                  <c:v>5.4549850486525039E-2</c:v>
                </c:pt>
                <c:pt idx="14">
                  <c:v>0.10909970097305018</c:v>
                </c:pt>
                <c:pt idx="15">
                  <c:v>0.17455952155688034</c:v>
                </c:pt>
                <c:pt idx="16">
                  <c:v>0.21819940194610055</c:v>
                </c:pt>
                <c:pt idx="17">
                  <c:v>0.20536414300809461</c:v>
                </c:pt>
                <c:pt idx="18">
                  <c:v>0.13690942867206315</c:v>
                </c:pt>
                <c:pt idx="19">
                  <c:v>5.7646075230342375E-2</c:v>
                </c:pt>
                <c:pt idx="20">
                  <c:v>1.1529215046068481E-2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F-4713-8869-EDA56437F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783280"/>
        <c:axId val="695781360"/>
      </c:barChart>
      <c:catAx>
        <c:axId val="69578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81360"/>
        <c:crosses val="autoZero"/>
        <c:auto val="1"/>
        <c:lblAlgn val="ctr"/>
        <c:lblOffset val="100"/>
        <c:noMultiLvlLbl val="0"/>
      </c:catAx>
      <c:valAx>
        <c:axId val="6957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8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Binomial(20,0.5)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'20 trials'!$D$6:$D$26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'20 trials'!$E$6:$E$26</c:f>
              <c:numCache>
                <c:formatCode>General</c:formatCode>
                <c:ptCount val="21"/>
                <c:pt idx="0">
                  <c:v>9.5367431640625E-7</c:v>
                </c:pt>
                <c:pt idx="1">
                  <c:v>1.9073486328125034E-5</c:v>
                </c:pt>
                <c:pt idx="2">
                  <c:v>1.8119812011718755E-4</c:v>
                </c:pt>
                <c:pt idx="3">
                  <c:v>1.0871887207031263E-3</c:v>
                </c:pt>
                <c:pt idx="4">
                  <c:v>4.6205520629882752E-3</c:v>
                </c:pt>
                <c:pt idx="5">
                  <c:v>1.4785766601562502E-2</c:v>
                </c:pt>
                <c:pt idx="6">
                  <c:v>3.6964416503906257E-2</c:v>
                </c:pt>
                <c:pt idx="7">
                  <c:v>7.3928833007812458E-2</c:v>
                </c:pt>
                <c:pt idx="8">
                  <c:v>0.12013435363769531</c:v>
                </c:pt>
                <c:pt idx="9">
                  <c:v>0.16017913818359369</c:v>
                </c:pt>
                <c:pt idx="10">
                  <c:v>0.17619705200195307</c:v>
                </c:pt>
                <c:pt idx="11">
                  <c:v>0.16017913818359369</c:v>
                </c:pt>
                <c:pt idx="12">
                  <c:v>0.12013435363769531</c:v>
                </c:pt>
                <c:pt idx="13">
                  <c:v>7.3928833007812472E-2</c:v>
                </c:pt>
                <c:pt idx="14">
                  <c:v>3.6964416503906257E-2</c:v>
                </c:pt>
                <c:pt idx="15">
                  <c:v>1.4785766601562502E-2</c:v>
                </c:pt>
                <c:pt idx="16">
                  <c:v>4.6205520629882752E-3</c:v>
                </c:pt>
                <c:pt idx="17">
                  <c:v>1.0871887207031261E-3</c:v>
                </c:pt>
                <c:pt idx="18">
                  <c:v>1.8119812011718753E-4</c:v>
                </c:pt>
                <c:pt idx="19">
                  <c:v>1.9073486328125E-5</c:v>
                </c:pt>
                <c:pt idx="20">
                  <c:v>9.5367431640625E-7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08-4A09-AF25-4774C7873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752080"/>
        <c:axId val="695762160"/>
      </c:barChart>
      <c:catAx>
        <c:axId val="69575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62160"/>
        <c:crosses val="autoZero"/>
        <c:auto val="1"/>
        <c:lblAlgn val="ctr"/>
        <c:lblOffset val="100"/>
        <c:noMultiLvlLbl val="0"/>
      </c:catAx>
      <c:valAx>
        <c:axId val="69576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5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Binomial(100,0.2)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'100 trials'!$A$4:$A$104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'100 trials'!$B$4:$B$104</c:f>
              <c:numCache>
                <c:formatCode>General</c:formatCode>
                <c:ptCount val="101"/>
                <c:pt idx="0">
                  <c:v>2.037035976334481E-10</c:v>
                </c:pt>
                <c:pt idx="1">
                  <c:v>5.0925899408362083E-9</c:v>
                </c:pt>
                <c:pt idx="2">
                  <c:v>6.3020800517848079E-8</c:v>
                </c:pt>
                <c:pt idx="3">
                  <c:v>5.1466987089575999E-7</c:v>
                </c:pt>
                <c:pt idx="4">
                  <c:v>3.1201860923055478E-6</c:v>
                </c:pt>
                <c:pt idx="5">
                  <c:v>1.4976893243066611E-5</c:v>
                </c:pt>
                <c:pt idx="6">
                  <c:v>5.9283535753805457E-5</c:v>
                </c:pt>
                <c:pt idx="7">
                  <c:v>1.9902329860206126E-4</c:v>
                </c:pt>
                <c:pt idx="8">
                  <c:v>5.7841146156223941E-4</c:v>
                </c:pt>
                <c:pt idx="9">
                  <c:v>1.4781626239923887E-3</c:v>
                </c:pt>
                <c:pt idx="10">
                  <c:v>3.3628199695826819E-3</c:v>
                </c:pt>
                <c:pt idx="11">
                  <c:v>6.8784953923282178E-3</c:v>
                </c:pt>
                <c:pt idx="12">
                  <c:v>1.2753876873275241E-2</c:v>
                </c:pt>
                <c:pt idx="13">
                  <c:v>2.1583483939388873E-2</c:v>
                </c:pt>
                <c:pt idx="14">
                  <c:v>3.3531483977264853E-2</c:v>
                </c:pt>
                <c:pt idx="15">
                  <c:v>4.8061793700746265E-2</c:v>
                </c:pt>
                <c:pt idx="16">
                  <c:v>6.3832069758803636E-2</c:v>
                </c:pt>
                <c:pt idx="17">
                  <c:v>7.8851380290286863E-2</c:v>
                </c:pt>
                <c:pt idx="18">
                  <c:v>9.0898118945747439E-2</c:v>
                </c:pt>
                <c:pt idx="19">
                  <c:v>9.8074286230937974E-2</c:v>
                </c:pt>
                <c:pt idx="20">
                  <c:v>9.9300214808824727E-2</c:v>
                </c:pt>
                <c:pt idx="21">
                  <c:v>9.457163315126163E-2</c:v>
                </c:pt>
                <c:pt idx="22">
                  <c:v>8.4899534306246235E-2</c:v>
                </c:pt>
                <c:pt idx="23">
                  <c:v>7.1980039955295727E-2</c:v>
                </c:pt>
                <c:pt idx="24">
                  <c:v>5.7733990380810098E-2</c:v>
                </c:pt>
                <c:pt idx="25">
                  <c:v>4.3877832689415662E-2</c:v>
                </c:pt>
                <c:pt idx="26">
                  <c:v>3.1642667804867075E-2</c:v>
                </c:pt>
                <c:pt idx="27">
                  <c:v>2.1681087199631147E-2</c:v>
                </c:pt>
                <c:pt idx="28">
                  <c:v>1.4131422906902448E-2</c:v>
                </c:pt>
                <c:pt idx="29">
                  <c:v>8.7712280111808226E-3</c:v>
                </c:pt>
                <c:pt idx="30">
                  <c:v>5.1896432399486598E-3</c:v>
                </c:pt>
                <c:pt idx="31">
                  <c:v>2.9296373128742388E-3</c:v>
                </c:pt>
                <c:pt idx="32">
                  <c:v>1.5792576139712652E-3</c:v>
                </c:pt>
                <c:pt idx="33">
                  <c:v>8.1355695265186993E-4</c:v>
                </c:pt>
                <c:pt idx="34">
                  <c:v>4.0079643990937578E-4</c:v>
                </c:pt>
                <c:pt idx="35">
                  <c:v>1.8894689310013394E-4</c:v>
                </c:pt>
                <c:pt idx="36">
                  <c:v>8.5288528135477233E-5</c:v>
                </c:pt>
                <c:pt idx="37">
                  <c:v>3.6881525680206309E-5</c:v>
                </c:pt>
                <c:pt idx="38">
                  <c:v>1.5286421827980287E-5</c:v>
                </c:pt>
                <c:pt idx="39">
                  <c:v>6.075372777787025E-6</c:v>
                </c:pt>
                <c:pt idx="40">
                  <c:v>2.3162358715313045E-6</c:v>
                </c:pt>
                <c:pt idx="41">
                  <c:v>8.4740336763340284E-7</c:v>
                </c:pt>
                <c:pt idx="42">
                  <c:v>2.9759999220458936E-7</c:v>
                </c:pt>
                <c:pt idx="43">
                  <c:v>1.003534857434084E-7</c:v>
                </c:pt>
                <c:pt idx="44">
                  <c:v>3.2500844814626252E-8</c:v>
                </c:pt>
                <c:pt idx="45">
                  <c:v>1.0111373942328229E-8</c:v>
                </c:pt>
                <c:pt idx="46">
                  <c:v>3.0224215588481269E-9</c:v>
                </c:pt>
                <c:pt idx="47">
                  <c:v>8.6814236264785904E-10</c:v>
                </c:pt>
                <c:pt idx="48">
                  <c:v>2.3964346468925398E-10</c:v>
                </c:pt>
                <c:pt idx="49">
                  <c:v>6.3578878386944531E-11</c:v>
                </c:pt>
                <c:pt idx="50">
                  <c:v>1.6212613988670884E-11</c:v>
                </c:pt>
                <c:pt idx="51">
                  <c:v>3.9736798991840179E-12</c:v>
                </c:pt>
                <c:pt idx="52">
                  <c:v>9.3610728394239089E-13</c:v>
                </c:pt>
                <c:pt idx="53">
                  <c:v>2.1194881900582473E-13</c:v>
                </c:pt>
                <c:pt idx="54">
                  <c:v>4.6118493024415772E-14</c:v>
                </c:pt>
                <c:pt idx="55">
                  <c:v>9.6429576323777747E-15</c:v>
                </c:pt>
                <c:pt idx="56">
                  <c:v>1.9372013100759107E-15</c:v>
                </c:pt>
                <c:pt idx="57">
                  <c:v>3.7384586685675306E-16</c:v>
                </c:pt>
                <c:pt idx="58">
                  <c:v>6.9290397736380916E-17</c:v>
                </c:pt>
                <c:pt idx="59">
                  <c:v>1.2331341970033983E-17</c:v>
                </c:pt>
                <c:pt idx="60">
                  <c:v>2.1066042532141223E-18</c:v>
                </c:pt>
                <c:pt idx="61">
                  <c:v>3.4534495954329846E-19</c:v>
                </c:pt>
                <c:pt idx="62">
                  <c:v>5.4308279928180003E-20</c:v>
                </c:pt>
                <c:pt idx="63">
                  <c:v>8.18934379869379E-21</c:v>
                </c:pt>
                <c:pt idx="64">
                  <c:v>1.1836160959049656E-21</c:v>
                </c:pt>
                <c:pt idx="65">
                  <c:v>1.6388530558684111E-22</c:v>
                </c:pt>
                <c:pt idx="66">
                  <c:v>2.1727218543710054E-23</c:v>
                </c:pt>
                <c:pt idx="67">
                  <c:v>2.7564381734557432E-24</c:v>
                </c:pt>
                <c:pt idx="68">
                  <c:v>3.3442080780896868E-25</c:v>
                </c:pt>
                <c:pt idx="69">
                  <c:v>3.8773426992344078E-26</c:v>
                </c:pt>
                <c:pt idx="70">
                  <c:v>4.2927722741523642E-27</c:v>
                </c:pt>
                <c:pt idx="71">
                  <c:v>4.5346185994567645E-28</c:v>
                </c:pt>
                <c:pt idx="72">
                  <c:v>4.5661090063974997E-29</c:v>
                </c:pt>
                <c:pt idx="73">
                  <c:v>4.3784606910659768E-30</c:v>
                </c:pt>
                <c:pt idx="74">
                  <c:v>3.9938661709047964E-31</c:v>
                </c:pt>
                <c:pt idx="75">
                  <c:v>3.4613506814508011E-32</c:v>
                </c:pt>
                <c:pt idx="76">
                  <c:v>2.8465054946142462E-33</c:v>
                </c:pt>
                <c:pt idx="77">
                  <c:v>2.2180562295695272E-34</c:v>
                </c:pt>
                <c:pt idx="78">
                  <c:v>1.6351055538493317E-35</c:v>
                </c:pt>
                <c:pt idx="79">
                  <c:v>1.1383646260976155E-36</c:v>
                </c:pt>
                <c:pt idx="80">
                  <c:v>7.4705178587656493E-38</c:v>
                </c:pt>
                <c:pt idx="81">
                  <c:v>4.6114307770158473E-39</c:v>
                </c:pt>
                <c:pt idx="82">
                  <c:v>2.6712556330274509E-40</c:v>
                </c:pt>
                <c:pt idx="83">
                  <c:v>1.4482711263401825E-41</c:v>
                </c:pt>
                <c:pt idx="84">
                  <c:v>7.3275622463638934E-43</c:v>
                </c:pt>
                <c:pt idx="85">
                  <c:v>3.448264586524305E-44</c:v>
                </c:pt>
                <c:pt idx="86">
                  <c:v>1.5036037441239525E-45</c:v>
                </c:pt>
                <c:pt idx="87">
                  <c:v>6.0489805798090554E-47</c:v>
                </c:pt>
                <c:pt idx="88">
                  <c:v>2.2339985095885734E-48</c:v>
                </c:pt>
                <c:pt idx="89">
                  <c:v>7.5303320547927619E-50</c:v>
                </c:pt>
                <c:pt idx="90">
                  <c:v>2.300934794520024E-51</c:v>
                </c:pt>
                <c:pt idx="91">
                  <c:v>6.3212494354946341E-53</c:v>
                </c:pt>
                <c:pt idx="92">
                  <c:v>1.5459577423763904E-54</c:v>
                </c:pt>
                <c:pt idx="93">
                  <c:v>3.3246403061858498E-56</c:v>
                </c:pt>
                <c:pt idx="94">
                  <c:v>6.1894899317290029E-58</c:v>
                </c:pt>
                <c:pt idx="95">
                  <c:v>9.7728788395717222E-60</c:v>
                </c:pt>
                <c:pt idx="96">
                  <c:v>1.2725102655692765E-61</c:v>
                </c:pt>
                <c:pt idx="97">
                  <c:v>1.3118662531641892E-63</c:v>
                </c:pt>
                <c:pt idx="98">
                  <c:v>1.0039792753807395E-65</c:v>
                </c:pt>
                <c:pt idx="99">
                  <c:v>5.0706024009128596E-68</c:v>
                </c:pt>
                <c:pt idx="100">
                  <c:v>1.2676506002282355E-70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A-478F-890D-A8158B411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428639"/>
        <c:axId val="835455519"/>
      </c:barChart>
      <c:catAx>
        <c:axId val="83542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455519"/>
        <c:crosses val="autoZero"/>
        <c:auto val="1"/>
        <c:lblAlgn val="ctr"/>
        <c:lblOffset val="100"/>
        <c:noMultiLvlLbl val="0"/>
      </c:catAx>
      <c:valAx>
        <c:axId val="83545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42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Binomial(100,0.5)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'100 trials'!$D$4:$D$104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'100 trials'!$E$4:$E$104</c:f>
              <c:numCache>
                <c:formatCode>General</c:formatCode>
                <c:ptCount val="101"/>
                <c:pt idx="0">
                  <c:v>7.8886090522101049E-31</c:v>
                </c:pt>
                <c:pt idx="1">
                  <c:v>7.8886090522101158E-29</c:v>
                </c:pt>
                <c:pt idx="2">
                  <c:v>3.9048614808440493E-27</c:v>
                </c:pt>
                <c:pt idx="3">
                  <c:v>1.2755880837423889E-25</c:v>
                </c:pt>
                <c:pt idx="4">
                  <c:v>3.0933011030752918E-24</c:v>
                </c:pt>
                <c:pt idx="5">
                  <c:v>5.9391381179045101E-23</c:v>
                </c:pt>
                <c:pt idx="6">
                  <c:v>9.4036353533488793E-22</c:v>
                </c:pt>
                <c:pt idx="7">
                  <c:v>1.2627738903068301E-20</c:v>
                </c:pt>
                <c:pt idx="8">
                  <c:v>1.4679746474816979E-19</c:v>
                </c:pt>
                <c:pt idx="9">
                  <c:v>1.5005963063146118E-18</c:v>
                </c:pt>
                <c:pt idx="10">
                  <c:v>1.3655426387462979E-17</c:v>
                </c:pt>
                <c:pt idx="11">
                  <c:v>1.1172621589742489E-16</c:v>
                </c:pt>
                <c:pt idx="12">
                  <c:v>8.2863610123923984E-16</c:v>
                </c:pt>
                <c:pt idx="13">
                  <c:v>5.6092289930040794E-15</c:v>
                </c:pt>
                <c:pt idx="14">
                  <c:v>3.4857351599382189E-14</c:v>
                </c:pt>
                <c:pt idx="15">
                  <c:v>1.9984881583645948E-13</c:v>
                </c:pt>
                <c:pt idx="16">
                  <c:v>1.0616968341311918E-12</c:v>
                </c:pt>
                <c:pt idx="17">
                  <c:v>5.2460314157070423E-12</c:v>
                </c:pt>
                <c:pt idx="18">
                  <c:v>2.419003375020489E-11</c:v>
                </c:pt>
                <c:pt idx="19">
                  <c:v>1.0439909302719939E-10</c:v>
                </c:pt>
                <c:pt idx="20">
                  <c:v>4.2281632676015464E-10</c:v>
                </c:pt>
                <c:pt idx="21">
                  <c:v>1.6107288638482146E-9</c:v>
                </c:pt>
                <c:pt idx="22">
                  <c:v>5.7839809201822048E-9</c:v>
                </c:pt>
                <c:pt idx="23">
                  <c:v>1.9615239642357071E-8</c:v>
                </c:pt>
                <c:pt idx="24">
                  <c:v>6.2932227185896111E-8</c:v>
                </c:pt>
                <c:pt idx="25">
                  <c:v>1.9131397064512392E-7</c:v>
                </c:pt>
                <c:pt idx="26">
                  <c:v>5.5186722301477995E-7</c:v>
                </c:pt>
                <c:pt idx="27">
                  <c:v>1.5125249815960639E-6</c:v>
                </c:pt>
                <c:pt idx="28">
                  <c:v>3.9433687020183031E-6</c:v>
                </c:pt>
                <c:pt idx="29">
                  <c:v>9.7904326394937912E-6</c:v>
                </c:pt>
                <c:pt idx="30">
                  <c:v>2.3170690580135296E-5</c:v>
                </c:pt>
                <c:pt idx="31">
                  <c:v>5.2320914213208622E-5</c:v>
                </c:pt>
                <c:pt idx="32">
                  <c:v>1.1281697127223065E-4</c:v>
                </c:pt>
                <c:pt idx="33">
                  <c:v>2.3247133474277876E-4</c:v>
                </c:pt>
                <c:pt idx="34">
                  <c:v>4.5810527728724036E-4</c:v>
                </c:pt>
                <c:pt idx="35">
                  <c:v>8.6385566574165252E-4</c:v>
                </c:pt>
                <c:pt idx="36">
                  <c:v>1.5597393964779853E-3</c:v>
                </c:pt>
                <c:pt idx="37">
                  <c:v>2.6979276047186741E-3</c:v>
                </c:pt>
                <c:pt idx="38">
                  <c:v>4.4728799762441106E-3</c:v>
                </c:pt>
                <c:pt idx="39">
                  <c:v>7.1107322699265549E-3</c:v>
                </c:pt>
                <c:pt idx="40">
                  <c:v>1.0843866711637992E-2</c:v>
                </c:pt>
                <c:pt idx="41">
                  <c:v>1.5869073236543376E-2</c:v>
                </c:pt>
                <c:pt idx="42">
                  <c:v>2.2292269546572856E-2</c:v>
                </c:pt>
                <c:pt idx="43">
                  <c:v>3.0068642644214549E-2</c:v>
                </c:pt>
                <c:pt idx="44">
                  <c:v>3.8952559789096154E-2</c:v>
                </c:pt>
                <c:pt idx="45">
                  <c:v>4.8474296626430782E-2</c:v>
                </c:pt>
                <c:pt idx="46">
                  <c:v>5.7958398140297657E-2</c:v>
                </c:pt>
                <c:pt idx="47">
                  <c:v>6.659049999098024E-2</c:v>
                </c:pt>
                <c:pt idx="48">
                  <c:v>7.3527010406707352E-2</c:v>
                </c:pt>
                <c:pt idx="49">
                  <c:v>7.802866410507725E-2</c:v>
                </c:pt>
                <c:pt idx="50">
                  <c:v>7.9589237387178782E-2</c:v>
                </c:pt>
                <c:pt idx="51">
                  <c:v>7.802866410507725E-2</c:v>
                </c:pt>
                <c:pt idx="52">
                  <c:v>7.3527010406707352E-2</c:v>
                </c:pt>
                <c:pt idx="53">
                  <c:v>6.659049999098024E-2</c:v>
                </c:pt>
                <c:pt idx="54">
                  <c:v>5.7958398140297643E-2</c:v>
                </c:pt>
                <c:pt idx="55">
                  <c:v>4.8474296626430782E-2</c:v>
                </c:pt>
                <c:pt idx="56">
                  <c:v>3.8952559789096154E-2</c:v>
                </c:pt>
                <c:pt idx="57">
                  <c:v>3.0068642644214549E-2</c:v>
                </c:pt>
                <c:pt idx="58">
                  <c:v>2.2292269546572856E-2</c:v>
                </c:pt>
                <c:pt idx="59">
                  <c:v>1.5869073236543376E-2</c:v>
                </c:pt>
                <c:pt idx="60">
                  <c:v>1.0843866711637992E-2</c:v>
                </c:pt>
                <c:pt idx="61">
                  <c:v>7.1107322699265549E-3</c:v>
                </c:pt>
                <c:pt idx="62">
                  <c:v>4.4728799762441098E-3</c:v>
                </c:pt>
                <c:pt idx="63">
                  <c:v>2.6979276047186741E-3</c:v>
                </c:pt>
                <c:pt idx="64">
                  <c:v>1.5597393964779846E-3</c:v>
                </c:pt>
                <c:pt idx="65">
                  <c:v>8.6385566574165252E-4</c:v>
                </c:pt>
                <c:pt idx="66">
                  <c:v>4.5810527728724047E-4</c:v>
                </c:pt>
                <c:pt idx="67">
                  <c:v>2.3247133474277876E-4</c:v>
                </c:pt>
                <c:pt idx="68">
                  <c:v>1.1281697127223065E-4</c:v>
                </c:pt>
                <c:pt idx="69">
                  <c:v>5.2320914213208622E-5</c:v>
                </c:pt>
                <c:pt idx="70">
                  <c:v>2.3170690580135296E-5</c:v>
                </c:pt>
                <c:pt idx="71">
                  <c:v>9.7904326394937895E-6</c:v>
                </c:pt>
                <c:pt idx="72">
                  <c:v>3.9433687020183031E-6</c:v>
                </c:pt>
                <c:pt idx="73">
                  <c:v>1.5125249815960639E-6</c:v>
                </c:pt>
                <c:pt idx="74">
                  <c:v>5.518672230147791E-7</c:v>
                </c:pt>
                <c:pt idx="75">
                  <c:v>1.9131397064512423E-7</c:v>
                </c:pt>
                <c:pt idx="76">
                  <c:v>6.2932227185896124E-8</c:v>
                </c:pt>
                <c:pt idx="77">
                  <c:v>1.9615239642357035E-8</c:v>
                </c:pt>
                <c:pt idx="78">
                  <c:v>5.7839809201822048E-9</c:v>
                </c:pt>
                <c:pt idx="79">
                  <c:v>1.6107288638482146E-9</c:v>
                </c:pt>
                <c:pt idx="80">
                  <c:v>4.2281632676015614E-10</c:v>
                </c:pt>
                <c:pt idx="81">
                  <c:v>1.0439909302719901E-10</c:v>
                </c:pt>
                <c:pt idx="82">
                  <c:v>2.419003375020489E-11</c:v>
                </c:pt>
                <c:pt idx="83">
                  <c:v>5.2460314157070423E-12</c:v>
                </c:pt>
                <c:pt idx="84">
                  <c:v>1.0616968341311918E-12</c:v>
                </c:pt>
                <c:pt idx="85">
                  <c:v>1.9984881583645948E-13</c:v>
                </c:pt>
                <c:pt idx="86">
                  <c:v>3.4857351599382189E-14</c:v>
                </c:pt>
                <c:pt idx="87">
                  <c:v>5.6092289930040794E-15</c:v>
                </c:pt>
                <c:pt idx="88">
                  <c:v>8.2863610123923984E-16</c:v>
                </c:pt>
                <c:pt idx="89">
                  <c:v>1.1172621589742489E-16</c:v>
                </c:pt>
                <c:pt idx="90">
                  <c:v>1.3655426387462979E-17</c:v>
                </c:pt>
                <c:pt idx="91">
                  <c:v>1.5005963063146224E-18</c:v>
                </c:pt>
                <c:pt idx="92">
                  <c:v>1.4679746474816979E-19</c:v>
                </c:pt>
                <c:pt idx="93">
                  <c:v>1.2627738903068301E-20</c:v>
                </c:pt>
                <c:pt idx="94">
                  <c:v>9.4036353533488793E-22</c:v>
                </c:pt>
                <c:pt idx="95">
                  <c:v>5.9391381179045101E-23</c:v>
                </c:pt>
                <c:pt idx="96">
                  <c:v>3.0933011030752697E-24</c:v>
                </c:pt>
                <c:pt idx="97">
                  <c:v>1.2755880837423889E-25</c:v>
                </c:pt>
                <c:pt idx="98">
                  <c:v>3.9048614808440493E-27</c:v>
                </c:pt>
                <c:pt idx="99">
                  <c:v>7.8886090522101158E-29</c:v>
                </c:pt>
                <c:pt idx="100">
                  <c:v>7.8886090522101049E-31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F-4F88-A399-89A2A713E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763600"/>
        <c:axId val="695770320"/>
      </c:barChart>
      <c:catAx>
        <c:axId val="69576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70320"/>
        <c:crosses val="autoZero"/>
        <c:auto val="1"/>
        <c:lblAlgn val="ctr"/>
        <c:lblOffset val="100"/>
        <c:noMultiLvlLbl val="0"/>
      </c:catAx>
      <c:valAx>
        <c:axId val="69577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6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Binomial(100,0.8)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'100 trials'!$G$4:$G$104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'100 trials'!$H$4:$H$104</c:f>
              <c:numCache>
                <c:formatCode>General</c:formatCode>
                <c:ptCount val="101"/>
                <c:pt idx="0">
                  <c:v>1.2676506002281995E-70</c:v>
                </c:pt>
                <c:pt idx="1">
                  <c:v>5.0706024009127163E-68</c:v>
                </c:pt>
                <c:pt idx="2">
                  <c:v>1.0039792753807395E-65</c:v>
                </c:pt>
                <c:pt idx="3">
                  <c:v>1.3118662531641892E-63</c:v>
                </c:pt>
                <c:pt idx="4">
                  <c:v>1.2725102655692404E-61</c:v>
                </c:pt>
                <c:pt idx="5">
                  <c:v>9.7728788395717222E-60</c:v>
                </c:pt>
                <c:pt idx="6">
                  <c:v>6.1894899317288268E-58</c:v>
                </c:pt>
                <c:pt idx="7">
                  <c:v>3.324640306185708E-56</c:v>
                </c:pt>
                <c:pt idx="8">
                  <c:v>1.5459577423763904E-54</c:v>
                </c:pt>
                <c:pt idx="9">
                  <c:v>6.3212494354945442E-53</c:v>
                </c:pt>
                <c:pt idx="10">
                  <c:v>2.3009347945200567E-51</c:v>
                </c:pt>
                <c:pt idx="11">
                  <c:v>7.5303320547928692E-50</c:v>
                </c:pt>
                <c:pt idx="12">
                  <c:v>2.2339985095885734E-48</c:v>
                </c:pt>
                <c:pt idx="13">
                  <c:v>6.0489805798088843E-47</c:v>
                </c:pt>
                <c:pt idx="14">
                  <c:v>1.5036037441239525E-45</c:v>
                </c:pt>
                <c:pt idx="15">
                  <c:v>3.4482645865242069E-44</c:v>
                </c:pt>
                <c:pt idx="16">
                  <c:v>7.3275622463638934E-43</c:v>
                </c:pt>
                <c:pt idx="17">
                  <c:v>1.4482711263401825E-41</c:v>
                </c:pt>
                <c:pt idx="18">
                  <c:v>2.6712556330274129E-40</c:v>
                </c:pt>
                <c:pt idx="19">
                  <c:v>4.6114307770157161E-39</c:v>
                </c:pt>
                <c:pt idx="20">
                  <c:v>7.4705178587655428E-38</c:v>
                </c:pt>
                <c:pt idx="21">
                  <c:v>1.1383646260975993E-36</c:v>
                </c:pt>
                <c:pt idx="22">
                  <c:v>1.6351055538493085E-35</c:v>
                </c:pt>
                <c:pt idx="23">
                  <c:v>2.2180562295694644E-34</c:v>
                </c:pt>
                <c:pt idx="24">
                  <c:v>2.8465054946141651E-33</c:v>
                </c:pt>
                <c:pt idx="25">
                  <c:v>3.4613506814508011E-32</c:v>
                </c:pt>
                <c:pt idx="26">
                  <c:v>3.9938661709047964E-31</c:v>
                </c:pt>
                <c:pt idx="27">
                  <c:v>4.3784606910659768E-30</c:v>
                </c:pt>
                <c:pt idx="28">
                  <c:v>4.5661090063974346E-29</c:v>
                </c:pt>
                <c:pt idx="29">
                  <c:v>4.5346185994566999E-28</c:v>
                </c:pt>
                <c:pt idx="30">
                  <c:v>4.2927722741523951E-27</c:v>
                </c:pt>
                <c:pt idx="31">
                  <c:v>3.8773426992343521E-26</c:v>
                </c:pt>
                <c:pt idx="32">
                  <c:v>3.344208078089663E-25</c:v>
                </c:pt>
                <c:pt idx="33">
                  <c:v>2.7564381734557039E-24</c:v>
                </c:pt>
                <c:pt idx="34">
                  <c:v>2.172721854370959E-23</c:v>
                </c:pt>
                <c:pt idx="35">
                  <c:v>1.6388530558683996E-22</c:v>
                </c:pt>
                <c:pt idx="36">
                  <c:v>1.1836160959049489E-21</c:v>
                </c:pt>
                <c:pt idx="37">
                  <c:v>8.18934379869379E-21</c:v>
                </c:pt>
                <c:pt idx="38">
                  <c:v>5.4308279928179232E-20</c:v>
                </c:pt>
                <c:pt idx="39">
                  <c:v>3.4534495954329355E-19</c:v>
                </c:pt>
                <c:pt idx="40">
                  <c:v>2.1066042532141223E-18</c:v>
                </c:pt>
                <c:pt idx="41">
                  <c:v>1.2331341970033807E-17</c:v>
                </c:pt>
                <c:pt idx="42">
                  <c:v>6.9290397736380423E-17</c:v>
                </c:pt>
                <c:pt idx="43">
                  <c:v>3.7384586685674779E-16</c:v>
                </c:pt>
                <c:pt idx="44">
                  <c:v>1.9372013100758558E-15</c:v>
                </c:pt>
                <c:pt idx="45">
                  <c:v>9.6429576323777069E-15</c:v>
                </c:pt>
                <c:pt idx="46">
                  <c:v>4.6118493024415116E-14</c:v>
                </c:pt>
                <c:pt idx="47">
                  <c:v>2.1194881900582322E-13</c:v>
                </c:pt>
                <c:pt idx="48">
                  <c:v>9.3610728394238765E-13</c:v>
                </c:pt>
                <c:pt idx="49">
                  <c:v>3.9736798991840041E-12</c:v>
                </c:pt>
                <c:pt idx="50">
                  <c:v>1.6212613988670768E-11</c:v>
                </c:pt>
                <c:pt idx="51">
                  <c:v>6.3578878386944531E-11</c:v>
                </c:pt>
                <c:pt idx="52">
                  <c:v>2.396434646892531E-10</c:v>
                </c:pt>
                <c:pt idx="53">
                  <c:v>8.6814236264785594E-10</c:v>
                </c:pt>
                <c:pt idx="54">
                  <c:v>3.0224215588480947E-9</c:v>
                </c:pt>
                <c:pt idx="55">
                  <c:v>1.0111373942328141E-8</c:v>
                </c:pt>
                <c:pt idx="56">
                  <c:v>3.2500844814626371E-8</c:v>
                </c:pt>
                <c:pt idx="57">
                  <c:v>1.0035348574340715E-7</c:v>
                </c:pt>
                <c:pt idx="58">
                  <c:v>2.9759999220458724E-7</c:v>
                </c:pt>
                <c:pt idx="59">
                  <c:v>8.4740336763340114E-7</c:v>
                </c:pt>
                <c:pt idx="60">
                  <c:v>2.3162358715312965E-6</c:v>
                </c:pt>
                <c:pt idx="61">
                  <c:v>6.0753727777869818E-6</c:v>
                </c:pt>
                <c:pt idx="62">
                  <c:v>1.5286421827980233E-5</c:v>
                </c:pt>
                <c:pt idx="63">
                  <c:v>3.6881525680206275E-5</c:v>
                </c:pt>
                <c:pt idx="64">
                  <c:v>8.5288528135476935E-5</c:v>
                </c:pt>
                <c:pt idx="65">
                  <c:v>1.8894689310013394E-4</c:v>
                </c:pt>
                <c:pt idx="66">
                  <c:v>4.0079643990937447E-4</c:v>
                </c:pt>
                <c:pt idx="67">
                  <c:v>8.1355695265186419E-4</c:v>
                </c:pt>
                <c:pt idx="68">
                  <c:v>1.5792576139712659E-3</c:v>
                </c:pt>
                <c:pt idx="69">
                  <c:v>2.9296373128742371E-3</c:v>
                </c:pt>
                <c:pt idx="70">
                  <c:v>5.1896432399486485E-3</c:v>
                </c:pt>
                <c:pt idx="71">
                  <c:v>8.7712280111808157E-3</c:v>
                </c:pt>
                <c:pt idx="72">
                  <c:v>1.4131422906902429E-2</c:v>
                </c:pt>
                <c:pt idx="73">
                  <c:v>2.168108719963116E-2</c:v>
                </c:pt>
                <c:pt idx="74">
                  <c:v>3.1642667804867075E-2</c:v>
                </c:pt>
                <c:pt idx="75">
                  <c:v>4.3877832689415669E-2</c:v>
                </c:pt>
                <c:pt idx="76">
                  <c:v>5.7733990380810063E-2</c:v>
                </c:pt>
                <c:pt idx="77">
                  <c:v>7.1980039955295658E-2</c:v>
                </c:pt>
                <c:pt idx="78">
                  <c:v>8.4899534306246208E-2</c:v>
                </c:pt>
                <c:pt idx="79">
                  <c:v>9.4571633151261603E-2</c:v>
                </c:pt>
                <c:pt idx="80">
                  <c:v>9.9300214808824727E-2</c:v>
                </c:pt>
                <c:pt idx="81">
                  <c:v>9.8074286230937988E-2</c:v>
                </c:pt>
                <c:pt idx="82">
                  <c:v>9.0898118945747466E-2</c:v>
                </c:pt>
                <c:pt idx="83">
                  <c:v>7.8851380290286918E-2</c:v>
                </c:pt>
                <c:pt idx="84">
                  <c:v>6.3832069758803692E-2</c:v>
                </c:pt>
                <c:pt idx="85">
                  <c:v>4.8061793700746307E-2</c:v>
                </c:pt>
                <c:pt idx="86">
                  <c:v>3.3531483977264902E-2</c:v>
                </c:pt>
                <c:pt idx="87">
                  <c:v>2.1583483939388894E-2</c:v>
                </c:pt>
                <c:pt idx="88">
                  <c:v>1.2753876873275253E-2</c:v>
                </c:pt>
                <c:pt idx="89">
                  <c:v>6.878495392328242E-3</c:v>
                </c:pt>
                <c:pt idx="90">
                  <c:v>3.3628199695826867E-3</c:v>
                </c:pt>
                <c:pt idx="91">
                  <c:v>1.4781626239923913E-3</c:v>
                </c:pt>
                <c:pt idx="92">
                  <c:v>5.7841146156224093E-4</c:v>
                </c:pt>
                <c:pt idx="93">
                  <c:v>1.9902329860206126E-4</c:v>
                </c:pt>
                <c:pt idx="94">
                  <c:v>5.9283535753805565E-5</c:v>
                </c:pt>
                <c:pt idx="95">
                  <c:v>1.4976893243066663E-5</c:v>
                </c:pt>
                <c:pt idx="96">
                  <c:v>3.1201860923055643E-6</c:v>
                </c:pt>
                <c:pt idx="97">
                  <c:v>5.1466987089576095E-7</c:v>
                </c:pt>
                <c:pt idx="98">
                  <c:v>6.3020800517848304E-8</c:v>
                </c:pt>
                <c:pt idx="99">
                  <c:v>5.0925899408362083E-9</c:v>
                </c:pt>
                <c:pt idx="100">
                  <c:v>2.0370359763344954E-10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2-4C9A-BF05-3E334A68D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823776"/>
        <c:axId val="938818016"/>
      </c:barChart>
      <c:catAx>
        <c:axId val="93882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18016"/>
        <c:crosses val="autoZero"/>
        <c:auto val="1"/>
        <c:lblAlgn val="ctr"/>
        <c:lblOffset val="100"/>
        <c:noMultiLvlLbl val="0"/>
      </c:catAx>
      <c:valAx>
        <c:axId val="93881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2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37286</xdr:colOff>
      <xdr:row>28</xdr:row>
      <xdr:rowOff>9526</xdr:rowOff>
    </xdr:from>
    <xdr:to>
      <xdr:col>4</xdr:col>
      <xdr:colOff>189686</xdr:colOff>
      <xdr:row>36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BEA6B-EA56-DA4F-1294-4D3E9C492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37287</xdr:colOff>
      <xdr:row>27</xdr:row>
      <xdr:rowOff>336255</xdr:rowOff>
    </xdr:from>
    <xdr:to>
      <xdr:col>13</xdr:col>
      <xdr:colOff>189687</xdr:colOff>
      <xdr:row>36</xdr:row>
      <xdr:rowOff>36549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1F6355-0394-679A-7130-705B339BC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648712</xdr:colOff>
      <xdr:row>28</xdr:row>
      <xdr:rowOff>4542</xdr:rowOff>
    </xdr:from>
    <xdr:to>
      <xdr:col>8</xdr:col>
      <xdr:colOff>790480</xdr:colOff>
      <xdr:row>36</xdr:row>
      <xdr:rowOff>45299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C39AF7-C2DD-B2BB-AEFB-3D88982B4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9555</xdr:colOff>
      <xdr:row>2</xdr:row>
      <xdr:rowOff>8547</xdr:rowOff>
    </xdr:from>
    <xdr:to>
      <xdr:col>16</xdr:col>
      <xdr:colOff>0</xdr:colOff>
      <xdr:row>13</xdr:row>
      <xdr:rowOff>333865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17565-ADA8-BCC7-0C55-6AF43B26A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7937</xdr:colOff>
      <xdr:row>15</xdr:row>
      <xdr:rowOff>13491</xdr:rowOff>
    </xdr:from>
    <xdr:to>
      <xdr:col>16</xdr:col>
      <xdr:colOff>0</xdr:colOff>
      <xdr:row>26</xdr:row>
      <xdr:rowOff>325437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1702D9-CFF3-6DF5-A1A2-33467B452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7937</xdr:colOff>
      <xdr:row>27</xdr:row>
      <xdr:rowOff>338929</xdr:rowOff>
    </xdr:from>
    <xdr:to>
      <xdr:col>16</xdr:col>
      <xdr:colOff>7937</xdr:colOff>
      <xdr:row>39</xdr:row>
      <xdr:rowOff>325436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A572C6-8ACB-79F6-9AD3-AEEB1C530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AD89-77F6-411C-AD9B-B39376BBB64A}">
  <dimension ref="A1:H26"/>
  <sheetViews>
    <sheetView topLeftCell="A28" zoomScale="79" workbookViewId="0">
      <selection activeCell="I24" sqref="I24"/>
    </sheetView>
  </sheetViews>
  <sheetFormatPr defaultRowHeight="26" x14ac:dyDescent="0.6"/>
  <cols>
    <col min="5" max="5" width="8.59765625" customWidth="1"/>
    <col min="8" max="8" width="8.59765625" customWidth="1"/>
    <col min="16" max="16" width="8.59765625" customWidth="1"/>
  </cols>
  <sheetData>
    <row r="1" spans="1:8" x14ac:dyDescent="0.6">
      <c r="A1" t="s">
        <v>0</v>
      </c>
    </row>
    <row r="3" spans="1:8" x14ac:dyDescent="0.6">
      <c r="A3" t="s">
        <v>3</v>
      </c>
      <c r="D3" t="s">
        <v>4</v>
      </c>
      <c r="G3" t="s">
        <v>5</v>
      </c>
    </row>
    <row r="5" spans="1:8" x14ac:dyDescent="0.6">
      <c r="A5" s="1" t="s">
        <v>1</v>
      </c>
      <c r="B5" s="1" t="s">
        <v>2</v>
      </c>
      <c r="C5" s="1"/>
      <c r="D5" s="1" t="s">
        <v>1</v>
      </c>
      <c r="E5" s="1" t="s">
        <v>2</v>
      </c>
      <c r="F5" s="1"/>
      <c r="G5" s="1" t="s">
        <v>1</v>
      </c>
      <c r="H5" s="1" t="s">
        <v>2</v>
      </c>
    </row>
    <row r="6" spans="1:8" x14ac:dyDescent="0.6">
      <c r="A6" s="1">
        <v>0</v>
      </c>
      <c r="B6">
        <f>_xlfn.BINOM.DIST(A6,20,0.2,FALSE)</f>
        <v>1.1529215046068471E-2</v>
      </c>
      <c r="D6" s="1">
        <v>0</v>
      </c>
      <c r="E6">
        <f>_xlfn.BINOM.DIST(D6,20,0.5,FALSE)</f>
        <v>9.5367431640625E-7</v>
      </c>
      <c r="G6" s="1">
        <v>0</v>
      </c>
      <c r="H6">
        <f>_xlfn.BINOM.DIST(G6,20,0.8,FALSE)</f>
        <v>1.048576000000001E-14</v>
      </c>
    </row>
    <row r="7" spans="1:8" x14ac:dyDescent="0.6">
      <c r="A7" s="1">
        <v>1</v>
      </c>
      <c r="B7">
        <f t="shared" ref="B7:B26" si="0">_xlfn.BINOM.DIST(A7,20,0.2,FALSE)</f>
        <v>5.7646075230342327E-2</v>
      </c>
      <c r="D7" s="1">
        <v>1</v>
      </c>
      <c r="E7">
        <f t="shared" ref="E7:E26" si="1">_xlfn.BINOM.DIST(D7,20,0.5,FALSE)</f>
        <v>1.9073486328125034E-5</v>
      </c>
      <c r="G7" s="1">
        <v>1</v>
      </c>
      <c r="H7">
        <f t="shared" ref="H7:H26" si="2">_xlfn.BINOM.DIST(G7,20,0.8,FALSE)</f>
        <v>8.3886079999999331E-13</v>
      </c>
    </row>
    <row r="8" spans="1:8" x14ac:dyDescent="0.6">
      <c r="A8" s="1">
        <v>2</v>
      </c>
      <c r="B8">
        <f t="shared" si="0"/>
        <v>0.1369094286720631</v>
      </c>
      <c r="D8" s="1">
        <v>2</v>
      </c>
      <c r="E8">
        <f t="shared" si="1"/>
        <v>1.8119812011718755E-4</v>
      </c>
      <c r="G8" s="1">
        <v>2</v>
      </c>
      <c r="H8">
        <f t="shared" si="2"/>
        <v>3.1876710399999934E-11</v>
      </c>
    </row>
    <row r="9" spans="1:8" x14ac:dyDescent="0.6">
      <c r="A9" s="1">
        <v>3</v>
      </c>
      <c r="B9">
        <f t="shared" si="0"/>
        <v>0.20536414300809455</v>
      </c>
      <c r="D9" s="1">
        <v>3</v>
      </c>
      <c r="E9">
        <f t="shared" si="1"/>
        <v>1.0871887207031263E-3</v>
      </c>
      <c r="G9" s="1">
        <v>3</v>
      </c>
      <c r="H9">
        <f t="shared" si="2"/>
        <v>7.6504104959999862E-10</v>
      </c>
    </row>
    <row r="10" spans="1:8" x14ac:dyDescent="0.6">
      <c r="A10" s="1">
        <v>4</v>
      </c>
      <c r="B10">
        <f t="shared" si="0"/>
        <v>0.21819940194610055</v>
      </c>
      <c r="D10" s="1">
        <v>4</v>
      </c>
      <c r="E10">
        <f t="shared" si="1"/>
        <v>4.6205520629882752E-3</v>
      </c>
      <c r="G10" s="1">
        <v>4</v>
      </c>
      <c r="H10">
        <f t="shared" si="2"/>
        <v>1.3005697843199945E-8</v>
      </c>
    </row>
    <row r="11" spans="1:8" x14ac:dyDescent="0.6">
      <c r="A11" s="1">
        <v>5</v>
      </c>
      <c r="B11">
        <f t="shared" si="0"/>
        <v>0.17455952155688043</v>
      </c>
      <c r="D11" s="1">
        <v>5</v>
      </c>
      <c r="E11">
        <f t="shared" si="1"/>
        <v>1.4785766601562502E-2</v>
      </c>
      <c r="G11" s="1">
        <v>5</v>
      </c>
      <c r="H11">
        <f t="shared" si="2"/>
        <v>1.6647293239295945E-7</v>
      </c>
    </row>
    <row r="12" spans="1:8" x14ac:dyDescent="0.6">
      <c r="A12" s="1">
        <v>6</v>
      </c>
      <c r="B12">
        <f t="shared" si="0"/>
        <v>0.1090997009730503</v>
      </c>
      <c r="D12" s="1">
        <v>6</v>
      </c>
      <c r="E12">
        <f t="shared" si="1"/>
        <v>3.6964416503906257E-2</v>
      </c>
      <c r="G12" s="1">
        <v>6</v>
      </c>
      <c r="H12">
        <f t="shared" si="2"/>
        <v>1.6647293239295904E-6</v>
      </c>
    </row>
    <row r="13" spans="1:8" x14ac:dyDescent="0.6">
      <c r="A13" s="1">
        <v>7</v>
      </c>
      <c r="B13">
        <f t="shared" si="0"/>
        <v>5.4549850486525116E-2</v>
      </c>
      <c r="D13" s="1">
        <v>7</v>
      </c>
      <c r="E13">
        <f t="shared" si="1"/>
        <v>7.3928833007812458E-2</v>
      </c>
      <c r="G13" s="1">
        <v>7</v>
      </c>
      <c r="H13">
        <f t="shared" si="2"/>
        <v>1.3317834591436762E-5</v>
      </c>
    </row>
    <row r="14" spans="1:8" x14ac:dyDescent="0.6">
      <c r="A14" s="1">
        <v>8</v>
      </c>
      <c r="B14">
        <f t="shared" si="0"/>
        <v>2.2160876760150834E-2</v>
      </c>
      <c r="D14" s="1">
        <v>8</v>
      </c>
      <c r="E14">
        <f t="shared" si="1"/>
        <v>0.12013435363769531</v>
      </c>
      <c r="G14" s="1">
        <v>8</v>
      </c>
      <c r="H14">
        <f t="shared" si="2"/>
        <v>8.6565924844338843E-5</v>
      </c>
    </row>
    <row r="15" spans="1:8" x14ac:dyDescent="0.6">
      <c r="A15" s="1">
        <v>9</v>
      </c>
      <c r="B15">
        <f t="shared" si="0"/>
        <v>7.386958920050278E-3</v>
      </c>
      <c r="D15" s="1">
        <v>9</v>
      </c>
      <c r="E15">
        <f t="shared" si="1"/>
        <v>0.16017913818359369</v>
      </c>
      <c r="G15" s="1">
        <v>9</v>
      </c>
      <c r="H15">
        <f t="shared" si="2"/>
        <v>4.6168493250314189E-4</v>
      </c>
    </row>
    <row r="16" spans="1:8" x14ac:dyDescent="0.6">
      <c r="A16" s="1">
        <v>10</v>
      </c>
      <c r="B16">
        <f t="shared" si="0"/>
        <v>2.0314137030138252E-3</v>
      </c>
      <c r="D16" s="1">
        <v>10</v>
      </c>
      <c r="E16">
        <f t="shared" si="1"/>
        <v>0.17619705200195307</v>
      </c>
      <c r="G16" s="1">
        <v>10</v>
      </c>
      <c r="H16">
        <f t="shared" si="2"/>
        <v>2.0314137030138235E-3</v>
      </c>
    </row>
    <row r="17" spans="1:8" x14ac:dyDescent="0.6">
      <c r="A17" s="1">
        <v>11</v>
      </c>
      <c r="B17">
        <f t="shared" si="0"/>
        <v>4.6168493250314227E-4</v>
      </c>
      <c r="D17" s="1">
        <v>11</v>
      </c>
      <c r="E17">
        <f t="shared" si="1"/>
        <v>0.16017913818359369</v>
      </c>
      <c r="G17" s="1">
        <v>11</v>
      </c>
      <c r="H17">
        <f t="shared" si="2"/>
        <v>7.3869589200502694E-3</v>
      </c>
    </row>
    <row r="18" spans="1:8" x14ac:dyDescent="0.6">
      <c r="A18" s="1">
        <v>12</v>
      </c>
      <c r="B18">
        <f t="shared" si="0"/>
        <v>8.6565924844339142E-5</v>
      </c>
      <c r="D18" s="1">
        <v>12</v>
      </c>
      <c r="E18">
        <f t="shared" si="1"/>
        <v>0.12013435363769531</v>
      </c>
      <c r="G18" s="1">
        <v>12</v>
      </c>
      <c r="H18">
        <f t="shared" si="2"/>
        <v>2.2160876760150813E-2</v>
      </c>
    </row>
    <row r="19" spans="1:8" x14ac:dyDescent="0.6">
      <c r="A19" s="1">
        <v>13</v>
      </c>
      <c r="B19">
        <f t="shared" si="0"/>
        <v>1.3317834591436786E-5</v>
      </c>
      <c r="D19" s="1">
        <v>13</v>
      </c>
      <c r="E19">
        <f t="shared" si="1"/>
        <v>7.3928833007812472E-2</v>
      </c>
      <c r="G19" s="1">
        <v>13</v>
      </c>
      <c r="H19">
        <f t="shared" si="2"/>
        <v>5.4549850486525039E-2</v>
      </c>
    </row>
    <row r="20" spans="1:8" x14ac:dyDescent="0.6">
      <c r="A20" s="1">
        <v>14</v>
      </c>
      <c r="B20">
        <f t="shared" si="0"/>
        <v>1.6647293239295963E-6</v>
      </c>
      <c r="D20" s="1">
        <v>14</v>
      </c>
      <c r="E20">
        <f t="shared" si="1"/>
        <v>3.6964416503906257E-2</v>
      </c>
      <c r="G20" s="1">
        <v>14</v>
      </c>
      <c r="H20">
        <f t="shared" si="2"/>
        <v>0.10909970097305018</v>
      </c>
    </row>
    <row r="21" spans="1:8" x14ac:dyDescent="0.6">
      <c r="A21" s="1">
        <v>15</v>
      </c>
      <c r="B21">
        <f t="shared" si="0"/>
        <v>1.6647293239296003E-7</v>
      </c>
      <c r="D21" s="1">
        <v>15</v>
      </c>
      <c r="E21">
        <f t="shared" si="1"/>
        <v>1.4785766601562502E-2</v>
      </c>
      <c r="G21" s="1">
        <v>15</v>
      </c>
      <c r="H21">
        <f t="shared" si="2"/>
        <v>0.17455952155688034</v>
      </c>
    </row>
    <row r="22" spans="1:8" x14ac:dyDescent="0.6">
      <c r="A22" s="1">
        <v>16</v>
      </c>
      <c r="B22">
        <f t="shared" si="0"/>
        <v>1.3005697843199991E-8</v>
      </c>
      <c r="D22" s="1">
        <v>16</v>
      </c>
      <c r="E22">
        <f t="shared" si="1"/>
        <v>4.6205520629882752E-3</v>
      </c>
      <c r="G22" s="1">
        <v>16</v>
      </c>
      <c r="H22">
        <f t="shared" si="2"/>
        <v>0.21819940194610055</v>
      </c>
    </row>
    <row r="23" spans="1:8" x14ac:dyDescent="0.6">
      <c r="A23" s="1">
        <v>17</v>
      </c>
      <c r="B23">
        <f t="shared" si="0"/>
        <v>7.6504104960000131E-10</v>
      </c>
      <c r="D23" s="1">
        <v>17</v>
      </c>
      <c r="E23">
        <f t="shared" si="1"/>
        <v>1.0871887207031261E-3</v>
      </c>
      <c r="G23" s="1">
        <v>17</v>
      </c>
      <c r="H23">
        <f t="shared" si="2"/>
        <v>0.20536414300809461</v>
      </c>
    </row>
    <row r="24" spans="1:8" x14ac:dyDescent="0.6">
      <c r="A24" s="1">
        <v>18</v>
      </c>
      <c r="B24">
        <f t="shared" si="0"/>
        <v>3.1876710399999934E-11</v>
      </c>
      <c r="D24" s="1">
        <v>18</v>
      </c>
      <c r="E24">
        <f t="shared" si="1"/>
        <v>1.8119812011718753E-4</v>
      </c>
      <c r="G24" s="1">
        <v>18</v>
      </c>
      <c r="H24">
        <f t="shared" si="2"/>
        <v>0.13690942867206315</v>
      </c>
    </row>
    <row r="25" spans="1:8" x14ac:dyDescent="0.6">
      <c r="A25" s="1">
        <v>19</v>
      </c>
      <c r="B25">
        <f t="shared" si="0"/>
        <v>8.3886079999999927E-13</v>
      </c>
      <c r="D25" s="1">
        <v>19</v>
      </c>
      <c r="E25">
        <f t="shared" si="1"/>
        <v>1.9073486328125E-5</v>
      </c>
      <c r="G25" s="1">
        <v>19</v>
      </c>
      <c r="H25">
        <f t="shared" si="2"/>
        <v>5.7646075230342375E-2</v>
      </c>
    </row>
    <row r="26" spans="1:8" x14ac:dyDescent="0.6">
      <c r="A26" s="1">
        <v>20</v>
      </c>
      <c r="B26">
        <f t="shared" si="0"/>
        <v>1.048576000000001E-14</v>
      </c>
      <c r="D26" s="1">
        <v>20</v>
      </c>
      <c r="E26">
        <f t="shared" si="1"/>
        <v>9.5367431640625E-7</v>
      </c>
      <c r="G26" s="1">
        <v>20</v>
      </c>
      <c r="H26">
        <f t="shared" si="2"/>
        <v>1.1529215046068481E-2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F915-7104-4319-8B59-26CC76512D6C}">
  <dimension ref="A1:H104"/>
  <sheetViews>
    <sheetView tabSelected="1" zoomScale="60" workbookViewId="0">
      <selection activeCell="R10" sqref="R10"/>
    </sheetView>
  </sheetViews>
  <sheetFormatPr defaultRowHeight="26" x14ac:dyDescent="0.6"/>
  <cols>
    <col min="2" max="2" width="8.59765625" customWidth="1"/>
    <col min="5" max="5" width="11.6484375" bestFit="1" customWidth="1"/>
    <col min="8" max="8" width="8.59765625" customWidth="1"/>
  </cols>
  <sheetData>
    <row r="1" spans="1:8" x14ac:dyDescent="0.6">
      <c r="A1" t="s">
        <v>6</v>
      </c>
      <c r="D1" t="s">
        <v>7</v>
      </c>
      <c r="G1" t="s">
        <v>8</v>
      </c>
    </row>
    <row r="3" spans="1:8" x14ac:dyDescent="0.6">
      <c r="A3" s="1" t="s">
        <v>1</v>
      </c>
      <c r="B3" s="1" t="s">
        <v>2</v>
      </c>
      <c r="D3" s="1" t="s">
        <v>1</v>
      </c>
      <c r="E3" s="1" t="s">
        <v>2</v>
      </c>
      <c r="G3" s="1" t="s">
        <v>1</v>
      </c>
      <c r="H3" s="1" t="s">
        <v>2</v>
      </c>
    </row>
    <row r="4" spans="1:8" x14ac:dyDescent="0.6">
      <c r="A4" s="1">
        <v>0</v>
      </c>
      <c r="B4">
        <f>_xlfn.BINOM.DIST(A4,100,0.2,FALSE)</f>
        <v>2.037035976334481E-10</v>
      </c>
      <c r="D4" s="1">
        <v>0</v>
      </c>
      <c r="E4">
        <f>_xlfn.BINOM.DIST(D4,100,0.5,FALSE)</f>
        <v>7.8886090522101049E-31</v>
      </c>
      <c r="G4" s="1">
        <v>0</v>
      </c>
      <c r="H4">
        <f>_xlfn.BINOM.DIST(G4,100,0.8,FALSE)</f>
        <v>1.2676506002281995E-70</v>
      </c>
    </row>
    <row r="5" spans="1:8" x14ac:dyDescent="0.6">
      <c r="A5" s="1">
        <v>1</v>
      </c>
      <c r="B5">
        <f t="shared" ref="B5:B68" si="0">_xlfn.BINOM.DIST(A5,100,0.2,FALSE)</f>
        <v>5.0925899408362083E-9</v>
      </c>
      <c r="D5" s="1">
        <v>1</v>
      </c>
      <c r="E5">
        <f t="shared" ref="E5:E68" si="1">_xlfn.BINOM.DIST(D5,100,0.5,FALSE)</f>
        <v>7.8886090522101158E-29</v>
      </c>
      <c r="G5" s="1">
        <v>1</v>
      </c>
      <c r="H5">
        <f t="shared" ref="H5:H68" si="2">_xlfn.BINOM.DIST(G5,100,0.8,FALSE)</f>
        <v>5.0706024009127163E-68</v>
      </c>
    </row>
    <row r="6" spans="1:8" x14ac:dyDescent="0.6">
      <c r="A6" s="1">
        <v>2</v>
      </c>
      <c r="B6">
        <f t="shared" si="0"/>
        <v>6.3020800517848079E-8</v>
      </c>
      <c r="D6" s="1">
        <v>2</v>
      </c>
      <c r="E6">
        <f t="shared" si="1"/>
        <v>3.9048614808440493E-27</v>
      </c>
      <c r="G6" s="1">
        <v>2</v>
      </c>
      <c r="H6">
        <f t="shared" si="2"/>
        <v>1.0039792753807395E-65</v>
      </c>
    </row>
    <row r="7" spans="1:8" x14ac:dyDescent="0.6">
      <c r="A7" s="1">
        <v>3</v>
      </c>
      <c r="B7">
        <f t="shared" si="0"/>
        <v>5.1466987089575999E-7</v>
      </c>
      <c r="D7" s="1">
        <v>3</v>
      </c>
      <c r="E7">
        <f t="shared" si="1"/>
        <v>1.2755880837423889E-25</v>
      </c>
      <c r="G7" s="1">
        <v>3</v>
      </c>
      <c r="H7">
        <f t="shared" si="2"/>
        <v>1.3118662531641892E-63</v>
      </c>
    </row>
    <row r="8" spans="1:8" x14ac:dyDescent="0.6">
      <c r="A8" s="1">
        <v>4</v>
      </c>
      <c r="B8">
        <f t="shared" si="0"/>
        <v>3.1201860923055478E-6</v>
      </c>
      <c r="D8" s="1">
        <v>4</v>
      </c>
      <c r="E8">
        <f t="shared" si="1"/>
        <v>3.0933011030752918E-24</v>
      </c>
      <c r="G8" s="1">
        <v>4</v>
      </c>
      <c r="H8">
        <f t="shared" si="2"/>
        <v>1.2725102655692404E-61</v>
      </c>
    </row>
    <row r="9" spans="1:8" x14ac:dyDescent="0.6">
      <c r="A9" s="1">
        <v>5</v>
      </c>
      <c r="B9">
        <f t="shared" si="0"/>
        <v>1.4976893243066611E-5</v>
      </c>
      <c r="D9" s="1">
        <v>5</v>
      </c>
      <c r="E9">
        <f t="shared" si="1"/>
        <v>5.9391381179045101E-23</v>
      </c>
      <c r="G9" s="1">
        <v>5</v>
      </c>
      <c r="H9">
        <f t="shared" si="2"/>
        <v>9.7728788395717222E-60</v>
      </c>
    </row>
    <row r="10" spans="1:8" x14ac:dyDescent="0.6">
      <c r="A10" s="1">
        <v>6</v>
      </c>
      <c r="B10">
        <f t="shared" si="0"/>
        <v>5.9283535753805457E-5</v>
      </c>
      <c r="D10" s="1">
        <v>6</v>
      </c>
      <c r="E10">
        <f t="shared" si="1"/>
        <v>9.4036353533488793E-22</v>
      </c>
      <c r="G10" s="1">
        <v>6</v>
      </c>
      <c r="H10">
        <f t="shared" si="2"/>
        <v>6.1894899317288268E-58</v>
      </c>
    </row>
    <row r="11" spans="1:8" x14ac:dyDescent="0.6">
      <c r="A11" s="1">
        <v>7</v>
      </c>
      <c r="B11">
        <f t="shared" si="0"/>
        <v>1.9902329860206126E-4</v>
      </c>
      <c r="D11" s="1">
        <v>7</v>
      </c>
      <c r="E11">
        <f t="shared" si="1"/>
        <v>1.2627738903068301E-20</v>
      </c>
      <c r="G11" s="1">
        <v>7</v>
      </c>
      <c r="H11">
        <f t="shared" si="2"/>
        <v>3.324640306185708E-56</v>
      </c>
    </row>
    <row r="12" spans="1:8" x14ac:dyDescent="0.6">
      <c r="A12" s="1">
        <v>8</v>
      </c>
      <c r="B12">
        <f t="shared" si="0"/>
        <v>5.7841146156223941E-4</v>
      </c>
      <c r="D12" s="1">
        <v>8</v>
      </c>
      <c r="E12">
        <f t="shared" si="1"/>
        <v>1.4679746474816979E-19</v>
      </c>
      <c r="G12" s="1">
        <v>8</v>
      </c>
      <c r="H12">
        <f t="shared" si="2"/>
        <v>1.5459577423763904E-54</v>
      </c>
    </row>
    <row r="13" spans="1:8" x14ac:dyDescent="0.6">
      <c r="A13" s="1">
        <v>9</v>
      </c>
      <c r="B13">
        <f t="shared" si="0"/>
        <v>1.4781626239923887E-3</v>
      </c>
      <c r="D13" s="1">
        <v>9</v>
      </c>
      <c r="E13">
        <f t="shared" si="1"/>
        <v>1.5005963063146118E-18</v>
      </c>
      <c r="G13" s="1">
        <v>9</v>
      </c>
      <c r="H13">
        <f t="shared" si="2"/>
        <v>6.3212494354945442E-53</v>
      </c>
    </row>
    <row r="14" spans="1:8" x14ac:dyDescent="0.6">
      <c r="A14" s="1">
        <v>10</v>
      </c>
      <c r="B14">
        <f t="shared" si="0"/>
        <v>3.3628199695826819E-3</v>
      </c>
      <c r="D14" s="1">
        <v>10</v>
      </c>
      <c r="E14">
        <f t="shared" si="1"/>
        <v>1.3655426387462979E-17</v>
      </c>
      <c r="G14" s="1">
        <v>10</v>
      </c>
      <c r="H14">
        <f t="shared" si="2"/>
        <v>2.3009347945200567E-51</v>
      </c>
    </row>
    <row r="15" spans="1:8" x14ac:dyDescent="0.6">
      <c r="A15" s="1">
        <v>11</v>
      </c>
      <c r="B15">
        <f t="shared" si="0"/>
        <v>6.8784953923282178E-3</v>
      </c>
      <c r="D15" s="1">
        <v>11</v>
      </c>
      <c r="E15">
        <f t="shared" si="1"/>
        <v>1.1172621589742489E-16</v>
      </c>
      <c r="G15" s="1">
        <v>11</v>
      </c>
      <c r="H15">
        <f t="shared" si="2"/>
        <v>7.5303320547928692E-50</v>
      </c>
    </row>
    <row r="16" spans="1:8" x14ac:dyDescent="0.6">
      <c r="A16" s="1">
        <v>12</v>
      </c>
      <c r="B16">
        <f t="shared" si="0"/>
        <v>1.2753876873275241E-2</v>
      </c>
      <c r="D16" s="1">
        <v>12</v>
      </c>
      <c r="E16">
        <f t="shared" si="1"/>
        <v>8.2863610123923984E-16</v>
      </c>
      <c r="G16" s="1">
        <v>12</v>
      </c>
      <c r="H16">
        <f t="shared" si="2"/>
        <v>2.2339985095885734E-48</v>
      </c>
    </row>
    <row r="17" spans="1:8" x14ac:dyDescent="0.6">
      <c r="A17" s="1">
        <v>13</v>
      </c>
      <c r="B17">
        <f t="shared" si="0"/>
        <v>2.1583483939388873E-2</v>
      </c>
      <c r="D17" s="1">
        <v>13</v>
      </c>
      <c r="E17">
        <f t="shared" si="1"/>
        <v>5.6092289930040794E-15</v>
      </c>
      <c r="G17" s="1">
        <v>13</v>
      </c>
      <c r="H17">
        <f t="shared" si="2"/>
        <v>6.0489805798088843E-47</v>
      </c>
    </row>
    <row r="18" spans="1:8" x14ac:dyDescent="0.6">
      <c r="A18" s="1">
        <v>14</v>
      </c>
      <c r="B18">
        <f t="shared" si="0"/>
        <v>3.3531483977264853E-2</v>
      </c>
      <c r="D18" s="1">
        <v>14</v>
      </c>
      <c r="E18">
        <f t="shared" si="1"/>
        <v>3.4857351599382189E-14</v>
      </c>
      <c r="G18" s="1">
        <v>14</v>
      </c>
      <c r="H18">
        <f t="shared" si="2"/>
        <v>1.5036037441239525E-45</v>
      </c>
    </row>
    <row r="19" spans="1:8" x14ac:dyDescent="0.6">
      <c r="A19" s="1">
        <v>15</v>
      </c>
      <c r="B19">
        <f t="shared" si="0"/>
        <v>4.8061793700746265E-2</v>
      </c>
      <c r="D19" s="1">
        <v>15</v>
      </c>
      <c r="E19">
        <f t="shared" si="1"/>
        <v>1.9984881583645948E-13</v>
      </c>
      <c r="G19" s="1">
        <v>15</v>
      </c>
      <c r="H19">
        <f t="shared" si="2"/>
        <v>3.4482645865242069E-44</v>
      </c>
    </row>
    <row r="20" spans="1:8" x14ac:dyDescent="0.6">
      <c r="A20" s="1">
        <v>16</v>
      </c>
      <c r="B20">
        <f t="shared" si="0"/>
        <v>6.3832069758803636E-2</v>
      </c>
      <c r="D20" s="1">
        <v>16</v>
      </c>
      <c r="E20">
        <f t="shared" si="1"/>
        <v>1.0616968341311918E-12</v>
      </c>
      <c r="G20" s="1">
        <v>16</v>
      </c>
      <c r="H20">
        <f t="shared" si="2"/>
        <v>7.3275622463638934E-43</v>
      </c>
    </row>
    <row r="21" spans="1:8" x14ac:dyDescent="0.6">
      <c r="A21" s="1">
        <v>17</v>
      </c>
      <c r="B21">
        <f t="shared" si="0"/>
        <v>7.8851380290286863E-2</v>
      </c>
      <c r="D21" s="1">
        <v>17</v>
      </c>
      <c r="E21">
        <f t="shared" si="1"/>
        <v>5.2460314157070423E-12</v>
      </c>
      <c r="G21" s="1">
        <v>17</v>
      </c>
      <c r="H21">
        <f t="shared" si="2"/>
        <v>1.4482711263401825E-41</v>
      </c>
    </row>
    <row r="22" spans="1:8" x14ac:dyDescent="0.6">
      <c r="A22" s="1">
        <v>18</v>
      </c>
      <c r="B22">
        <f t="shared" si="0"/>
        <v>9.0898118945747439E-2</v>
      </c>
      <c r="D22" s="1">
        <v>18</v>
      </c>
      <c r="E22">
        <f t="shared" si="1"/>
        <v>2.419003375020489E-11</v>
      </c>
      <c r="G22" s="1">
        <v>18</v>
      </c>
      <c r="H22">
        <f t="shared" si="2"/>
        <v>2.6712556330274129E-40</v>
      </c>
    </row>
    <row r="23" spans="1:8" x14ac:dyDescent="0.6">
      <c r="A23" s="1">
        <v>19</v>
      </c>
      <c r="B23">
        <f t="shared" si="0"/>
        <v>9.8074286230937974E-2</v>
      </c>
      <c r="D23" s="1">
        <v>19</v>
      </c>
      <c r="E23">
        <f t="shared" si="1"/>
        <v>1.0439909302719939E-10</v>
      </c>
      <c r="G23" s="1">
        <v>19</v>
      </c>
      <c r="H23">
        <f t="shared" si="2"/>
        <v>4.6114307770157161E-39</v>
      </c>
    </row>
    <row r="24" spans="1:8" x14ac:dyDescent="0.6">
      <c r="A24" s="1">
        <v>20</v>
      </c>
      <c r="B24">
        <f t="shared" si="0"/>
        <v>9.9300214808824727E-2</v>
      </c>
      <c r="D24" s="1">
        <v>20</v>
      </c>
      <c r="E24">
        <f t="shared" si="1"/>
        <v>4.2281632676015464E-10</v>
      </c>
      <c r="G24" s="1">
        <v>20</v>
      </c>
      <c r="H24">
        <f t="shared" si="2"/>
        <v>7.4705178587655428E-38</v>
      </c>
    </row>
    <row r="25" spans="1:8" x14ac:dyDescent="0.6">
      <c r="A25" s="1">
        <v>21</v>
      </c>
      <c r="B25">
        <f t="shared" si="0"/>
        <v>9.457163315126163E-2</v>
      </c>
      <c r="D25" s="1">
        <v>21</v>
      </c>
      <c r="E25">
        <f t="shared" si="1"/>
        <v>1.6107288638482146E-9</v>
      </c>
      <c r="G25" s="1">
        <v>21</v>
      </c>
      <c r="H25">
        <f t="shared" si="2"/>
        <v>1.1383646260975993E-36</v>
      </c>
    </row>
    <row r="26" spans="1:8" x14ac:dyDescent="0.6">
      <c r="A26" s="1">
        <v>22</v>
      </c>
      <c r="B26">
        <f t="shared" si="0"/>
        <v>8.4899534306246235E-2</v>
      </c>
      <c r="D26" s="1">
        <v>22</v>
      </c>
      <c r="E26">
        <f t="shared" si="1"/>
        <v>5.7839809201822048E-9</v>
      </c>
      <c r="G26" s="1">
        <v>22</v>
      </c>
      <c r="H26">
        <f t="shared" si="2"/>
        <v>1.6351055538493085E-35</v>
      </c>
    </row>
    <row r="27" spans="1:8" x14ac:dyDescent="0.6">
      <c r="A27" s="1">
        <v>23</v>
      </c>
      <c r="B27">
        <f t="shared" si="0"/>
        <v>7.1980039955295727E-2</v>
      </c>
      <c r="D27" s="1">
        <v>23</v>
      </c>
      <c r="E27">
        <f t="shared" si="1"/>
        <v>1.9615239642357071E-8</v>
      </c>
      <c r="G27" s="1">
        <v>23</v>
      </c>
      <c r="H27">
        <f t="shared" si="2"/>
        <v>2.2180562295694644E-34</v>
      </c>
    </row>
    <row r="28" spans="1:8" x14ac:dyDescent="0.6">
      <c r="A28" s="1">
        <v>24</v>
      </c>
      <c r="B28">
        <f t="shared" si="0"/>
        <v>5.7733990380810098E-2</v>
      </c>
      <c r="D28" s="1">
        <v>24</v>
      </c>
      <c r="E28">
        <f t="shared" si="1"/>
        <v>6.2932227185896111E-8</v>
      </c>
      <c r="G28" s="1">
        <v>24</v>
      </c>
      <c r="H28">
        <f t="shared" si="2"/>
        <v>2.8465054946141651E-33</v>
      </c>
    </row>
    <row r="29" spans="1:8" x14ac:dyDescent="0.6">
      <c r="A29" s="1">
        <v>25</v>
      </c>
      <c r="B29">
        <f t="shared" si="0"/>
        <v>4.3877832689415662E-2</v>
      </c>
      <c r="D29" s="1">
        <v>25</v>
      </c>
      <c r="E29">
        <f t="shared" si="1"/>
        <v>1.9131397064512392E-7</v>
      </c>
      <c r="G29" s="1">
        <v>25</v>
      </c>
      <c r="H29">
        <f t="shared" si="2"/>
        <v>3.4613506814508011E-32</v>
      </c>
    </row>
    <row r="30" spans="1:8" x14ac:dyDescent="0.6">
      <c r="A30" s="1">
        <v>26</v>
      </c>
      <c r="B30">
        <f t="shared" si="0"/>
        <v>3.1642667804867075E-2</v>
      </c>
      <c r="D30" s="1">
        <v>26</v>
      </c>
      <c r="E30">
        <f t="shared" si="1"/>
        <v>5.5186722301477995E-7</v>
      </c>
      <c r="G30" s="1">
        <v>26</v>
      </c>
      <c r="H30">
        <f t="shared" si="2"/>
        <v>3.9938661709047964E-31</v>
      </c>
    </row>
    <row r="31" spans="1:8" x14ac:dyDescent="0.6">
      <c r="A31" s="1">
        <v>27</v>
      </c>
      <c r="B31">
        <f t="shared" si="0"/>
        <v>2.1681087199631147E-2</v>
      </c>
      <c r="D31" s="1">
        <v>27</v>
      </c>
      <c r="E31">
        <f t="shared" si="1"/>
        <v>1.5125249815960639E-6</v>
      </c>
      <c r="G31" s="1">
        <v>27</v>
      </c>
      <c r="H31">
        <f t="shared" si="2"/>
        <v>4.3784606910659768E-30</v>
      </c>
    </row>
    <row r="32" spans="1:8" x14ac:dyDescent="0.6">
      <c r="A32" s="1">
        <v>28</v>
      </c>
      <c r="B32">
        <f t="shared" si="0"/>
        <v>1.4131422906902448E-2</v>
      </c>
      <c r="D32" s="1">
        <v>28</v>
      </c>
      <c r="E32">
        <f t="shared" si="1"/>
        <v>3.9433687020183031E-6</v>
      </c>
      <c r="G32" s="1">
        <v>28</v>
      </c>
      <c r="H32">
        <f t="shared" si="2"/>
        <v>4.5661090063974346E-29</v>
      </c>
    </row>
    <row r="33" spans="1:8" x14ac:dyDescent="0.6">
      <c r="A33" s="1">
        <v>29</v>
      </c>
      <c r="B33">
        <f t="shared" si="0"/>
        <v>8.7712280111808226E-3</v>
      </c>
      <c r="D33" s="1">
        <v>29</v>
      </c>
      <c r="E33">
        <f t="shared" si="1"/>
        <v>9.7904326394937912E-6</v>
      </c>
      <c r="G33" s="1">
        <v>29</v>
      </c>
      <c r="H33">
        <f t="shared" si="2"/>
        <v>4.5346185994566999E-28</v>
      </c>
    </row>
    <row r="34" spans="1:8" x14ac:dyDescent="0.6">
      <c r="A34" s="1">
        <v>30</v>
      </c>
      <c r="B34">
        <f t="shared" si="0"/>
        <v>5.1896432399486598E-3</v>
      </c>
      <c r="D34" s="1">
        <v>30</v>
      </c>
      <c r="E34">
        <f t="shared" si="1"/>
        <v>2.3170690580135296E-5</v>
      </c>
      <c r="G34" s="1">
        <v>30</v>
      </c>
      <c r="H34">
        <f t="shared" si="2"/>
        <v>4.2927722741523951E-27</v>
      </c>
    </row>
    <row r="35" spans="1:8" x14ac:dyDescent="0.6">
      <c r="A35" s="1">
        <v>31</v>
      </c>
      <c r="B35">
        <f t="shared" si="0"/>
        <v>2.9296373128742388E-3</v>
      </c>
      <c r="D35" s="1">
        <v>31</v>
      </c>
      <c r="E35">
        <f t="shared" si="1"/>
        <v>5.2320914213208622E-5</v>
      </c>
      <c r="G35" s="1">
        <v>31</v>
      </c>
      <c r="H35">
        <f t="shared" si="2"/>
        <v>3.8773426992343521E-26</v>
      </c>
    </row>
    <row r="36" spans="1:8" x14ac:dyDescent="0.6">
      <c r="A36" s="1">
        <v>32</v>
      </c>
      <c r="B36">
        <f t="shared" si="0"/>
        <v>1.5792576139712652E-3</v>
      </c>
      <c r="D36" s="1">
        <v>32</v>
      </c>
      <c r="E36">
        <f t="shared" si="1"/>
        <v>1.1281697127223065E-4</v>
      </c>
      <c r="G36" s="1">
        <v>32</v>
      </c>
      <c r="H36">
        <f t="shared" si="2"/>
        <v>3.344208078089663E-25</v>
      </c>
    </row>
    <row r="37" spans="1:8" x14ac:dyDescent="0.6">
      <c r="A37" s="1">
        <v>33</v>
      </c>
      <c r="B37">
        <f t="shared" si="0"/>
        <v>8.1355695265186993E-4</v>
      </c>
      <c r="D37" s="1">
        <v>33</v>
      </c>
      <c r="E37">
        <f t="shared" si="1"/>
        <v>2.3247133474277876E-4</v>
      </c>
      <c r="G37" s="1">
        <v>33</v>
      </c>
      <c r="H37">
        <f t="shared" si="2"/>
        <v>2.7564381734557039E-24</v>
      </c>
    </row>
    <row r="38" spans="1:8" x14ac:dyDescent="0.6">
      <c r="A38" s="1">
        <v>34</v>
      </c>
      <c r="B38">
        <f t="shared" si="0"/>
        <v>4.0079643990937578E-4</v>
      </c>
      <c r="D38" s="1">
        <v>34</v>
      </c>
      <c r="E38">
        <f t="shared" si="1"/>
        <v>4.5810527728724036E-4</v>
      </c>
      <c r="G38" s="1">
        <v>34</v>
      </c>
      <c r="H38">
        <f t="shared" si="2"/>
        <v>2.172721854370959E-23</v>
      </c>
    </row>
    <row r="39" spans="1:8" x14ac:dyDescent="0.6">
      <c r="A39" s="1">
        <v>35</v>
      </c>
      <c r="B39">
        <f t="shared" si="0"/>
        <v>1.8894689310013394E-4</v>
      </c>
      <c r="D39" s="1">
        <v>35</v>
      </c>
      <c r="E39">
        <f t="shared" si="1"/>
        <v>8.6385566574165252E-4</v>
      </c>
      <c r="G39" s="1">
        <v>35</v>
      </c>
      <c r="H39">
        <f t="shared" si="2"/>
        <v>1.6388530558683996E-22</v>
      </c>
    </row>
    <row r="40" spans="1:8" x14ac:dyDescent="0.6">
      <c r="A40" s="1">
        <v>36</v>
      </c>
      <c r="B40">
        <f t="shared" si="0"/>
        <v>8.5288528135477233E-5</v>
      </c>
      <c r="D40" s="1">
        <v>36</v>
      </c>
      <c r="E40">
        <f t="shared" si="1"/>
        <v>1.5597393964779853E-3</v>
      </c>
      <c r="G40" s="1">
        <v>36</v>
      </c>
      <c r="H40">
        <f t="shared" si="2"/>
        <v>1.1836160959049489E-21</v>
      </c>
    </row>
    <row r="41" spans="1:8" x14ac:dyDescent="0.6">
      <c r="A41" s="1">
        <v>37</v>
      </c>
      <c r="B41">
        <f t="shared" si="0"/>
        <v>3.6881525680206309E-5</v>
      </c>
      <c r="D41" s="1">
        <v>37</v>
      </c>
      <c r="E41">
        <f t="shared" si="1"/>
        <v>2.6979276047186741E-3</v>
      </c>
      <c r="G41" s="1">
        <v>37</v>
      </c>
      <c r="H41">
        <f t="shared" si="2"/>
        <v>8.18934379869379E-21</v>
      </c>
    </row>
    <row r="42" spans="1:8" x14ac:dyDescent="0.6">
      <c r="A42" s="1">
        <v>38</v>
      </c>
      <c r="B42">
        <f t="shared" si="0"/>
        <v>1.5286421827980287E-5</v>
      </c>
      <c r="D42" s="1">
        <v>38</v>
      </c>
      <c r="E42">
        <f t="shared" si="1"/>
        <v>4.4728799762441106E-3</v>
      </c>
      <c r="G42" s="1">
        <v>38</v>
      </c>
      <c r="H42">
        <f t="shared" si="2"/>
        <v>5.4308279928179232E-20</v>
      </c>
    </row>
    <row r="43" spans="1:8" x14ac:dyDescent="0.6">
      <c r="A43" s="1">
        <v>39</v>
      </c>
      <c r="B43">
        <f t="shared" si="0"/>
        <v>6.075372777787025E-6</v>
      </c>
      <c r="D43" s="1">
        <v>39</v>
      </c>
      <c r="E43">
        <f t="shared" si="1"/>
        <v>7.1107322699265549E-3</v>
      </c>
      <c r="G43" s="1">
        <v>39</v>
      </c>
      <c r="H43">
        <f t="shared" si="2"/>
        <v>3.4534495954329355E-19</v>
      </c>
    </row>
    <row r="44" spans="1:8" x14ac:dyDescent="0.6">
      <c r="A44" s="1">
        <v>40</v>
      </c>
      <c r="B44">
        <f t="shared" si="0"/>
        <v>2.3162358715313045E-6</v>
      </c>
      <c r="D44" s="1">
        <v>40</v>
      </c>
      <c r="E44">
        <f t="shared" si="1"/>
        <v>1.0843866711637992E-2</v>
      </c>
      <c r="G44" s="1">
        <v>40</v>
      </c>
      <c r="H44">
        <f t="shared" si="2"/>
        <v>2.1066042532141223E-18</v>
      </c>
    </row>
    <row r="45" spans="1:8" x14ac:dyDescent="0.6">
      <c r="A45" s="1">
        <v>41</v>
      </c>
      <c r="B45">
        <f t="shared" si="0"/>
        <v>8.4740336763340284E-7</v>
      </c>
      <c r="D45" s="1">
        <v>41</v>
      </c>
      <c r="E45">
        <f t="shared" si="1"/>
        <v>1.5869073236543376E-2</v>
      </c>
      <c r="G45" s="1">
        <v>41</v>
      </c>
      <c r="H45">
        <f t="shared" si="2"/>
        <v>1.2331341970033807E-17</v>
      </c>
    </row>
    <row r="46" spans="1:8" x14ac:dyDescent="0.6">
      <c r="A46" s="1">
        <v>42</v>
      </c>
      <c r="B46">
        <f t="shared" si="0"/>
        <v>2.9759999220458936E-7</v>
      </c>
      <c r="D46" s="1">
        <v>42</v>
      </c>
      <c r="E46">
        <f t="shared" si="1"/>
        <v>2.2292269546572856E-2</v>
      </c>
      <c r="G46" s="1">
        <v>42</v>
      </c>
      <c r="H46">
        <f t="shared" si="2"/>
        <v>6.9290397736380423E-17</v>
      </c>
    </row>
    <row r="47" spans="1:8" x14ac:dyDescent="0.6">
      <c r="A47" s="1">
        <v>43</v>
      </c>
      <c r="B47">
        <f t="shared" si="0"/>
        <v>1.003534857434084E-7</v>
      </c>
      <c r="D47" s="1">
        <v>43</v>
      </c>
      <c r="E47">
        <f t="shared" si="1"/>
        <v>3.0068642644214549E-2</v>
      </c>
      <c r="G47" s="1">
        <v>43</v>
      </c>
      <c r="H47">
        <f t="shared" si="2"/>
        <v>3.7384586685674779E-16</v>
      </c>
    </row>
    <row r="48" spans="1:8" x14ac:dyDescent="0.6">
      <c r="A48" s="1">
        <v>44</v>
      </c>
      <c r="B48">
        <f t="shared" si="0"/>
        <v>3.2500844814626252E-8</v>
      </c>
      <c r="D48" s="1">
        <v>44</v>
      </c>
      <c r="E48">
        <f t="shared" si="1"/>
        <v>3.8952559789096154E-2</v>
      </c>
      <c r="G48" s="1">
        <v>44</v>
      </c>
      <c r="H48">
        <f t="shared" si="2"/>
        <v>1.9372013100758558E-15</v>
      </c>
    </row>
    <row r="49" spans="1:8" x14ac:dyDescent="0.6">
      <c r="A49" s="1">
        <v>45</v>
      </c>
      <c r="B49">
        <f t="shared" si="0"/>
        <v>1.0111373942328229E-8</v>
      </c>
      <c r="D49" s="1">
        <v>45</v>
      </c>
      <c r="E49">
        <f t="shared" si="1"/>
        <v>4.8474296626430782E-2</v>
      </c>
      <c r="G49" s="1">
        <v>45</v>
      </c>
      <c r="H49">
        <f t="shared" si="2"/>
        <v>9.6429576323777069E-15</v>
      </c>
    </row>
    <row r="50" spans="1:8" x14ac:dyDescent="0.6">
      <c r="A50" s="1">
        <v>46</v>
      </c>
      <c r="B50">
        <f t="shared" si="0"/>
        <v>3.0224215588481269E-9</v>
      </c>
      <c r="D50" s="1">
        <v>46</v>
      </c>
      <c r="E50">
        <f t="shared" si="1"/>
        <v>5.7958398140297657E-2</v>
      </c>
      <c r="G50" s="1">
        <v>46</v>
      </c>
      <c r="H50">
        <f t="shared" si="2"/>
        <v>4.6118493024415116E-14</v>
      </c>
    </row>
    <row r="51" spans="1:8" x14ac:dyDescent="0.6">
      <c r="A51" s="1">
        <v>47</v>
      </c>
      <c r="B51">
        <f t="shared" si="0"/>
        <v>8.6814236264785904E-10</v>
      </c>
      <c r="D51" s="1">
        <v>47</v>
      </c>
      <c r="E51">
        <f t="shared" si="1"/>
        <v>6.659049999098024E-2</v>
      </c>
      <c r="G51" s="1">
        <v>47</v>
      </c>
      <c r="H51">
        <f t="shared" si="2"/>
        <v>2.1194881900582322E-13</v>
      </c>
    </row>
    <row r="52" spans="1:8" x14ac:dyDescent="0.6">
      <c r="A52" s="1">
        <v>48</v>
      </c>
      <c r="B52">
        <f t="shared" si="0"/>
        <v>2.3964346468925398E-10</v>
      </c>
      <c r="D52" s="1">
        <v>48</v>
      </c>
      <c r="E52">
        <f t="shared" si="1"/>
        <v>7.3527010406707352E-2</v>
      </c>
      <c r="G52" s="1">
        <v>48</v>
      </c>
      <c r="H52">
        <f t="shared" si="2"/>
        <v>9.3610728394238765E-13</v>
      </c>
    </row>
    <row r="53" spans="1:8" x14ac:dyDescent="0.6">
      <c r="A53" s="1">
        <v>49</v>
      </c>
      <c r="B53">
        <f t="shared" si="0"/>
        <v>6.3578878386944531E-11</v>
      </c>
      <c r="D53" s="1">
        <v>49</v>
      </c>
      <c r="E53">
        <f t="shared" si="1"/>
        <v>7.802866410507725E-2</v>
      </c>
      <c r="G53" s="1">
        <v>49</v>
      </c>
      <c r="H53">
        <f t="shared" si="2"/>
        <v>3.9736798991840041E-12</v>
      </c>
    </row>
    <row r="54" spans="1:8" x14ac:dyDescent="0.6">
      <c r="A54" s="1">
        <v>50</v>
      </c>
      <c r="B54">
        <f t="shared" si="0"/>
        <v>1.6212613988670884E-11</v>
      </c>
      <c r="D54" s="1">
        <v>50</v>
      </c>
      <c r="E54">
        <f t="shared" si="1"/>
        <v>7.9589237387178782E-2</v>
      </c>
      <c r="G54" s="1">
        <v>50</v>
      </c>
      <c r="H54">
        <f t="shared" si="2"/>
        <v>1.6212613988670768E-11</v>
      </c>
    </row>
    <row r="55" spans="1:8" x14ac:dyDescent="0.6">
      <c r="A55" s="1">
        <v>51</v>
      </c>
      <c r="B55">
        <f t="shared" si="0"/>
        <v>3.9736798991840179E-12</v>
      </c>
      <c r="D55" s="1">
        <v>51</v>
      </c>
      <c r="E55">
        <f t="shared" si="1"/>
        <v>7.802866410507725E-2</v>
      </c>
      <c r="G55" s="1">
        <v>51</v>
      </c>
      <c r="H55">
        <f t="shared" si="2"/>
        <v>6.3578878386944531E-11</v>
      </c>
    </row>
    <row r="56" spans="1:8" x14ac:dyDescent="0.6">
      <c r="A56" s="1">
        <v>52</v>
      </c>
      <c r="B56">
        <f t="shared" si="0"/>
        <v>9.3610728394239089E-13</v>
      </c>
      <c r="D56" s="1">
        <v>52</v>
      </c>
      <c r="E56">
        <f t="shared" si="1"/>
        <v>7.3527010406707352E-2</v>
      </c>
      <c r="G56" s="1">
        <v>52</v>
      </c>
      <c r="H56">
        <f t="shared" si="2"/>
        <v>2.396434646892531E-10</v>
      </c>
    </row>
    <row r="57" spans="1:8" x14ac:dyDescent="0.6">
      <c r="A57" s="1">
        <v>53</v>
      </c>
      <c r="B57">
        <f t="shared" si="0"/>
        <v>2.1194881900582473E-13</v>
      </c>
      <c r="D57" s="1">
        <v>53</v>
      </c>
      <c r="E57">
        <f t="shared" si="1"/>
        <v>6.659049999098024E-2</v>
      </c>
      <c r="G57" s="1">
        <v>53</v>
      </c>
      <c r="H57">
        <f t="shared" si="2"/>
        <v>8.6814236264785594E-10</v>
      </c>
    </row>
    <row r="58" spans="1:8" x14ac:dyDescent="0.6">
      <c r="A58" s="1">
        <v>54</v>
      </c>
      <c r="B58">
        <f t="shared" si="0"/>
        <v>4.6118493024415772E-14</v>
      </c>
      <c r="D58" s="1">
        <v>54</v>
      </c>
      <c r="E58">
        <f t="shared" si="1"/>
        <v>5.7958398140297643E-2</v>
      </c>
      <c r="G58" s="1">
        <v>54</v>
      </c>
      <c r="H58">
        <f t="shared" si="2"/>
        <v>3.0224215588480947E-9</v>
      </c>
    </row>
    <row r="59" spans="1:8" x14ac:dyDescent="0.6">
      <c r="A59" s="1">
        <v>55</v>
      </c>
      <c r="B59">
        <f t="shared" si="0"/>
        <v>9.6429576323777747E-15</v>
      </c>
      <c r="D59" s="1">
        <v>55</v>
      </c>
      <c r="E59">
        <f t="shared" si="1"/>
        <v>4.8474296626430782E-2</v>
      </c>
      <c r="G59" s="1">
        <v>55</v>
      </c>
      <c r="H59">
        <f t="shared" si="2"/>
        <v>1.0111373942328141E-8</v>
      </c>
    </row>
    <row r="60" spans="1:8" x14ac:dyDescent="0.6">
      <c r="A60" s="1">
        <v>56</v>
      </c>
      <c r="B60">
        <f t="shared" si="0"/>
        <v>1.9372013100759107E-15</v>
      </c>
      <c r="D60" s="1">
        <v>56</v>
      </c>
      <c r="E60">
        <f t="shared" si="1"/>
        <v>3.8952559789096154E-2</v>
      </c>
      <c r="G60" s="1">
        <v>56</v>
      </c>
      <c r="H60">
        <f t="shared" si="2"/>
        <v>3.2500844814626371E-8</v>
      </c>
    </row>
    <row r="61" spans="1:8" x14ac:dyDescent="0.6">
      <c r="A61" s="1">
        <v>57</v>
      </c>
      <c r="B61">
        <f t="shared" si="0"/>
        <v>3.7384586685675306E-16</v>
      </c>
      <c r="D61" s="1">
        <v>57</v>
      </c>
      <c r="E61">
        <f t="shared" si="1"/>
        <v>3.0068642644214549E-2</v>
      </c>
      <c r="G61" s="1">
        <v>57</v>
      </c>
      <c r="H61">
        <f t="shared" si="2"/>
        <v>1.0035348574340715E-7</v>
      </c>
    </row>
    <row r="62" spans="1:8" x14ac:dyDescent="0.6">
      <c r="A62" s="1">
        <v>58</v>
      </c>
      <c r="B62">
        <f t="shared" si="0"/>
        <v>6.9290397736380916E-17</v>
      </c>
      <c r="D62" s="1">
        <v>58</v>
      </c>
      <c r="E62">
        <f t="shared" si="1"/>
        <v>2.2292269546572856E-2</v>
      </c>
      <c r="G62" s="1">
        <v>58</v>
      </c>
      <c r="H62">
        <f t="shared" si="2"/>
        <v>2.9759999220458724E-7</v>
      </c>
    </row>
    <row r="63" spans="1:8" x14ac:dyDescent="0.6">
      <c r="A63" s="1">
        <v>59</v>
      </c>
      <c r="B63">
        <f t="shared" si="0"/>
        <v>1.2331341970033983E-17</v>
      </c>
      <c r="D63" s="1">
        <v>59</v>
      </c>
      <c r="E63">
        <f t="shared" si="1"/>
        <v>1.5869073236543376E-2</v>
      </c>
      <c r="G63" s="1">
        <v>59</v>
      </c>
      <c r="H63">
        <f t="shared" si="2"/>
        <v>8.4740336763340114E-7</v>
      </c>
    </row>
    <row r="64" spans="1:8" x14ac:dyDescent="0.6">
      <c r="A64" s="1">
        <v>60</v>
      </c>
      <c r="B64">
        <f t="shared" si="0"/>
        <v>2.1066042532141223E-18</v>
      </c>
      <c r="D64" s="1">
        <v>60</v>
      </c>
      <c r="E64">
        <f t="shared" si="1"/>
        <v>1.0843866711637992E-2</v>
      </c>
      <c r="G64" s="1">
        <v>60</v>
      </c>
      <c r="H64">
        <f t="shared" si="2"/>
        <v>2.3162358715312965E-6</v>
      </c>
    </row>
    <row r="65" spans="1:8" x14ac:dyDescent="0.6">
      <c r="A65" s="1">
        <v>61</v>
      </c>
      <c r="B65">
        <f t="shared" si="0"/>
        <v>3.4534495954329846E-19</v>
      </c>
      <c r="D65" s="1">
        <v>61</v>
      </c>
      <c r="E65">
        <f t="shared" si="1"/>
        <v>7.1107322699265549E-3</v>
      </c>
      <c r="G65" s="1">
        <v>61</v>
      </c>
      <c r="H65">
        <f t="shared" si="2"/>
        <v>6.0753727777869818E-6</v>
      </c>
    </row>
    <row r="66" spans="1:8" x14ac:dyDescent="0.6">
      <c r="A66" s="1">
        <v>62</v>
      </c>
      <c r="B66">
        <f t="shared" si="0"/>
        <v>5.4308279928180003E-20</v>
      </c>
      <c r="D66" s="1">
        <v>62</v>
      </c>
      <c r="E66">
        <f t="shared" si="1"/>
        <v>4.4728799762441098E-3</v>
      </c>
      <c r="G66" s="1">
        <v>62</v>
      </c>
      <c r="H66">
        <f t="shared" si="2"/>
        <v>1.5286421827980233E-5</v>
      </c>
    </row>
    <row r="67" spans="1:8" x14ac:dyDescent="0.6">
      <c r="A67" s="1">
        <v>63</v>
      </c>
      <c r="B67">
        <f t="shared" si="0"/>
        <v>8.18934379869379E-21</v>
      </c>
      <c r="D67" s="1">
        <v>63</v>
      </c>
      <c r="E67">
        <f t="shared" si="1"/>
        <v>2.6979276047186741E-3</v>
      </c>
      <c r="G67" s="1">
        <v>63</v>
      </c>
      <c r="H67">
        <f t="shared" si="2"/>
        <v>3.6881525680206275E-5</v>
      </c>
    </row>
    <row r="68" spans="1:8" x14ac:dyDescent="0.6">
      <c r="A68" s="1">
        <v>64</v>
      </c>
      <c r="B68">
        <f t="shared" si="0"/>
        <v>1.1836160959049656E-21</v>
      </c>
      <c r="D68" s="1">
        <v>64</v>
      </c>
      <c r="E68">
        <f t="shared" si="1"/>
        <v>1.5597393964779846E-3</v>
      </c>
      <c r="G68" s="1">
        <v>64</v>
      </c>
      <c r="H68">
        <f t="shared" si="2"/>
        <v>8.5288528135476935E-5</v>
      </c>
    </row>
    <row r="69" spans="1:8" x14ac:dyDescent="0.6">
      <c r="A69" s="1">
        <v>65</v>
      </c>
      <c r="B69">
        <f t="shared" ref="B69:B104" si="3">_xlfn.BINOM.DIST(A69,100,0.2,FALSE)</f>
        <v>1.6388530558684111E-22</v>
      </c>
      <c r="D69" s="1">
        <v>65</v>
      </c>
      <c r="E69">
        <f t="shared" ref="E69:E104" si="4">_xlfn.BINOM.DIST(D69,100,0.5,FALSE)</f>
        <v>8.6385566574165252E-4</v>
      </c>
      <c r="G69" s="1">
        <v>65</v>
      </c>
      <c r="H69">
        <f t="shared" ref="H69:H104" si="5">_xlfn.BINOM.DIST(G69,100,0.8,FALSE)</f>
        <v>1.8894689310013394E-4</v>
      </c>
    </row>
    <row r="70" spans="1:8" x14ac:dyDescent="0.6">
      <c r="A70" s="1">
        <v>66</v>
      </c>
      <c r="B70">
        <f t="shared" si="3"/>
        <v>2.1727218543710054E-23</v>
      </c>
      <c r="D70" s="1">
        <v>66</v>
      </c>
      <c r="E70">
        <f t="shared" si="4"/>
        <v>4.5810527728724047E-4</v>
      </c>
      <c r="G70" s="1">
        <v>66</v>
      </c>
      <c r="H70">
        <f t="shared" si="5"/>
        <v>4.0079643990937447E-4</v>
      </c>
    </row>
    <row r="71" spans="1:8" x14ac:dyDescent="0.6">
      <c r="A71" s="1">
        <v>67</v>
      </c>
      <c r="B71">
        <f t="shared" si="3"/>
        <v>2.7564381734557432E-24</v>
      </c>
      <c r="D71" s="1">
        <v>67</v>
      </c>
      <c r="E71">
        <f t="shared" si="4"/>
        <v>2.3247133474277876E-4</v>
      </c>
      <c r="G71" s="1">
        <v>67</v>
      </c>
      <c r="H71">
        <f t="shared" si="5"/>
        <v>8.1355695265186419E-4</v>
      </c>
    </row>
    <row r="72" spans="1:8" x14ac:dyDescent="0.6">
      <c r="A72" s="1">
        <v>68</v>
      </c>
      <c r="B72">
        <f t="shared" si="3"/>
        <v>3.3442080780896868E-25</v>
      </c>
      <c r="D72" s="1">
        <v>68</v>
      </c>
      <c r="E72">
        <f t="shared" si="4"/>
        <v>1.1281697127223065E-4</v>
      </c>
      <c r="G72" s="1">
        <v>68</v>
      </c>
      <c r="H72">
        <f t="shared" si="5"/>
        <v>1.5792576139712659E-3</v>
      </c>
    </row>
    <row r="73" spans="1:8" x14ac:dyDescent="0.6">
      <c r="A73" s="1">
        <v>69</v>
      </c>
      <c r="B73">
        <f t="shared" si="3"/>
        <v>3.8773426992344078E-26</v>
      </c>
      <c r="D73" s="1">
        <v>69</v>
      </c>
      <c r="E73">
        <f t="shared" si="4"/>
        <v>5.2320914213208622E-5</v>
      </c>
      <c r="G73" s="1">
        <v>69</v>
      </c>
      <c r="H73">
        <f t="shared" si="5"/>
        <v>2.9296373128742371E-3</v>
      </c>
    </row>
    <row r="74" spans="1:8" x14ac:dyDescent="0.6">
      <c r="A74" s="1">
        <v>70</v>
      </c>
      <c r="B74">
        <f t="shared" si="3"/>
        <v>4.2927722741523642E-27</v>
      </c>
      <c r="D74" s="1">
        <v>70</v>
      </c>
      <c r="E74">
        <f t="shared" si="4"/>
        <v>2.3170690580135296E-5</v>
      </c>
      <c r="G74" s="1">
        <v>70</v>
      </c>
      <c r="H74">
        <f t="shared" si="5"/>
        <v>5.1896432399486485E-3</v>
      </c>
    </row>
    <row r="75" spans="1:8" x14ac:dyDescent="0.6">
      <c r="A75" s="1">
        <v>71</v>
      </c>
      <c r="B75">
        <f t="shared" si="3"/>
        <v>4.5346185994567645E-28</v>
      </c>
      <c r="D75" s="1">
        <v>71</v>
      </c>
      <c r="E75">
        <f t="shared" si="4"/>
        <v>9.7904326394937895E-6</v>
      </c>
      <c r="G75" s="1">
        <v>71</v>
      </c>
      <c r="H75">
        <f t="shared" si="5"/>
        <v>8.7712280111808157E-3</v>
      </c>
    </row>
    <row r="76" spans="1:8" x14ac:dyDescent="0.6">
      <c r="A76" s="1">
        <v>72</v>
      </c>
      <c r="B76">
        <f t="shared" si="3"/>
        <v>4.5661090063974997E-29</v>
      </c>
      <c r="D76" s="1">
        <v>72</v>
      </c>
      <c r="E76">
        <f t="shared" si="4"/>
        <v>3.9433687020183031E-6</v>
      </c>
      <c r="G76" s="1">
        <v>72</v>
      </c>
      <c r="H76">
        <f t="shared" si="5"/>
        <v>1.4131422906902429E-2</v>
      </c>
    </row>
    <row r="77" spans="1:8" x14ac:dyDescent="0.6">
      <c r="A77" s="1">
        <v>73</v>
      </c>
      <c r="B77">
        <f t="shared" si="3"/>
        <v>4.3784606910659768E-30</v>
      </c>
      <c r="D77" s="1">
        <v>73</v>
      </c>
      <c r="E77">
        <f t="shared" si="4"/>
        <v>1.5125249815960639E-6</v>
      </c>
      <c r="G77" s="1">
        <v>73</v>
      </c>
      <c r="H77">
        <f t="shared" si="5"/>
        <v>2.168108719963116E-2</v>
      </c>
    </row>
    <row r="78" spans="1:8" x14ac:dyDescent="0.6">
      <c r="A78" s="1">
        <v>74</v>
      </c>
      <c r="B78">
        <f t="shared" si="3"/>
        <v>3.9938661709047964E-31</v>
      </c>
      <c r="D78" s="1">
        <v>74</v>
      </c>
      <c r="E78">
        <f t="shared" si="4"/>
        <v>5.518672230147791E-7</v>
      </c>
      <c r="G78" s="1">
        <v>74</v>
      </c>
      <c r="H78">
        <f t="shared" si="5"/>
        <v>3.1642667804867075E-2</v>
      </c>
    </row>
    <row r="79" spans="1:8" x14ac:dyDescent="0.6">
      <c r="A79" s="1">
        <v>75</v>
      </c>
      <c r="B79">
        <f t="shared" si="3"/>
        <v>3.4613506814508011E-32</v>
      </c>
      <c r="D79" s="1">
        <v>75</v>
      </c>
      <c r="E79">
        <f t="shared" si="4"/>
        <v>1.9131397064512423E-7</v>
      </c>
      <c r="G79" s="1">
        <v>75</v>
      </c>
      <c r="H79">
        <f t="shared" si="5"/>
        <v>4.3877832689415669E-2</v>
      </c>
    </row>
    <row r="80" spans="1:8" x14ac:dyDescent="0.6">
      <c r="A80" s="1">
        <v>76</v>
      </c>
      <c r="B80">
        <f t="shared" si="3"/>
        <v>2.8465054946142462E-33</v>
      </c>
      <c r="D80" s="1">
        <v>76</v>
      </c>
      <c r="E80">
        <f t="shared" si="4"/>
        <v>6.2932227185896124E-8</v>
      </c>
      <c r="G80" s="1">
        <v>76</v>
      </c>
      <c r="H80">
        <f t="shared" si="5"/>
        <v>5.7733990380810063E-2</v>
      </c>
    </row>
    <row r="81" spans="1:8" x14ac:dyDescent="0.6">
      <c r="A81" s="1">
        <v>77</v>
      </c>
      <c r="B81">
        <f t="shared" si="3"/>
        <v>2.2180562295695272E-34</v>
      </c>
      <c r="D81" s="1">
        <v>77</v>
      </c>
      <c r="E81">
        <f t="shared" si="4"/>
        <v>1.9615239642357035E-8</v>
      </c>
      <c r="G81" s="1">
        <v>77</v>
      </c>
      <c r="H81">
        <f t="shared" si="5"/>
        <v>7.1980039955295658E-2</v>
      </c>
    </row>
    <row r="82" spans="1:8" x14ac:dyDescent="0.6">
      <c r="A82" s="1">
        <v>78</v>
      </c>
      <c r="B82">
        <f t="shared" si="3"/>
        <v>1.6351055538493317E-35</v>
      </c>
      <c r="D82" s="1">
        <v>78</v>
      </c>
      <c r="E82">
        <f t="shared" si="4"/>
        <v>5.7839809201822048E-9</v>
      </c>
      <c r="G82" s="1">
        <v>78</v>
      </c>
      <c r="H82">
        <f t="shared" si="5"/>
        <v>8.4899534306246208E-2</v>
      </c>
    </row>
    <row r="83" spans="1:8" x14ac:dyDescent="0.6">
      <c r="A83" s="1">
        <v>79</v>
      </c>
      <c r="B83">
        <f t="shared" si="3"/>
        <v>1.1383646260976155E-36</v>
      </c>
      <c r="D83" s="1">
        <v>79</v>
      </c>
      <c r="E83">
        <f t="shared" si="4"/>
        <v>1.6107288638482146E-9</v>
      </c>
      <c r="G83" s="1">
        <v>79</v>
      </c>
      <c r="H83">
        <f t="shared" si="5"/>
        <v>9.4571633151261603E-2</v>
      </c>
    </row>
    <row r="84" spans="1:8" x14ac:dyDescent="0.6">
      <c r="A84" s="1">
        <v>80</v>
      </c>
      <c r="B84">
        <f t="shared" si="3"/>
        <v>7.4705178587656493E-38</v>
      </c>
      <c r="D84" s="1">
        <v>80</v>
      </c>
      <c r="E84">
        <f t="shared" si="4"/>
        <v>4.2281632676015614E-10</v>
      </c>
      <c r="G84" s="1">
        <v>80</v>
      </c>
      <c r="H84">
        <f t="shared" si="5"/>
        <v>9.9300214808824727E-2</v>
      </c>
    </row>
    <row r="85" spans="1:8" x14ac:dyDescent="0.6">
      <c r="A85" s="1">
        <v>81</v>
      </c>
      <c r="B85">
        <f t="shared" si="3"/>
        <v>4.6114307770158473E-39</v>
      </c>
      <c r="D85" s="1">
        <v>81</v>
      </c>
      <c r="E85">
        <f t="shared" si="4"/>
        <v>1.0439909302719901E-10</v>
      </c>
      <c r="G85" s="1">
        <v>81</v>
      </c>
      <c r="H85">
        <f t="shared" si="5"/>
        <v>9.8074286230937988E-2</v>
      </c>
    </row>
    <row r="86" spans="1:8" x14ac:dyDescent="0.6">
      <c r="A86" s="1">
        <v>82</v>
      </c>
      <c r="B86">
        <f t="shared" si="3"/>
        <v>2.6712556330274509E-40</v>
      </c>
      <c r="D86" s="1">
        <v>82</v>
      </c>
      <c r="E86">
        <f t="shared" si="4"/>
        <v>2.419003375020489E-11</v>
      </c>
      <c r="G86" s="1">
        <v>82</v>
      </c>
      <c r="H86">
        <f t="shared" si="5"/>
        <v>9.0898118945747466E-2</v>
      </c>
    </row>
    <row r="87" spans="1:8" x14ac:dyDescent="0.6">
      <c r="A87" s="1">
        <v>83</v>
      </c>
      <c r="B87">
        <f t="shared" si="3"/>
        <v>1.4482711263401825E-41</v>
      </c>
      <c r="D87" s="1">
        <v>83</v>
      </c>
      <c r="E87">
        <f t="shared" si="4"/>
        <v>5.2460314157070423E-12</v>
      </c>
      <c r="G87" s="1">
        <v>83</v>
      </c>
      <c r="H87">
        <f t="shared" si="5"/>
        <v>7.8851380290286918E-2</v>
      </c>
    </row>
    <row r="88" spans="1:8" x14ac:dyDescent="0.6">
      <c r="A88" s="1">
        <v>84</v>
      </c>
      <c r="B88">
        <f t="shared" si="3"/>
        <v>7.3275622463638934E-43</v>
      </c>
      <c r="D88" s="1">
        <v>84</v>
      </c>
      <c r="E88">
        <f t="shared" si="4"/>
        <v>1.0616968341311918E-12</v>
      </c>
      <c r="G88" s="1">
        <v>84</v>
      </c>
      <c r="H88">
        <f t="shared" si="5"/>
        <v>6.3832069758803692E-2</v>
      </c>
    </row>
    <row r="89" spans="1:8" x14ac:dyDescent="0.6">
      <c r="A89" s="1">
        <v>85</v>
      </c>
      <c r="B89">
        <f t="shared" si="3"/>
        <v>3.448264586524305E-44</v>
      </c>
      <c r="D89" s="1">
        <v>85</v>
      </c>
      <c r="E89">
        <f t="shared" si="4"/>
        <v>1.9984881583645948E-13</v>
      </c>
      <c r="G89" s="1">
        <v>85</v>
      </c>
      <c r="H89">
        <f t="shared" si="5"/>
        <v>4.8061793700746307E-2</v>
      </c>
    </row>
    <row r="90" spans="1:8" x14ac:dyDescent="0.6">
      <c r="A90" s="1">
        <v>86</v>
      </c>
      <c r="B90">
        <f t="shared" si="3"/>
        <v>1.5036037441239525E-45</v>
      </c>
      <c r="D90" s="1">
        <v>86</v>
      </c>
      <c r="E90">
        <f t="shared" si="4"/>
        <v>3.4857351599382189E-14</v>
      </c>
      <c r="G90" s="1">
        <v>86</v>
      </c>
      <c r="H90">
        <f t="shared" si="5"/>
        <v>3.3531483977264902E-2</v>
      </c>
    </row>
    <row r="91" spans="1:8" x14ac:dyDescent="0.6">
      <c r="A91" s="1">
        <v>87</v>
      </c>
      <c r="B91">
        <f t="shared" si="3"/>
        <v>6.0489805798090554E-47</v>
      </c>
      <c r="D91" s="1">
        <v>87</v>
      </c>
      <c r="E91">
        <f t="shared" si="4"/>
        <v>5.6092289930040794E-15</v>
      </c>
      <c r="G91" s="1">
        <v>87</v>
      </c>
      <c r="H91">
        <f t="shared" si="5"/>
        <v>2.1583483939388894E-2</v>
      </c>
    </row>
    <row r="92" spans="1:8" x14ac:dyDescent="0.6">
      <c r="A92" s="1">
        <v>88</v>
      </c>
      <c r="B92">
        <f t="shared" si="3"/>
        <v>2.2339985095885734E-48</v>
      </c>
      <c r="D92" s="1">
        <v>88</v>
      </c>
      <c r="E92">
        <f t="shared" si="4"/>
        <v>8.2863610123923984E-16</v>
      </c>
      <c r="G92" s="1">
        <v>88</v>
      </c>
      <c r="H92">
        <f t="shared" si="5"/>
        <v>1.2753876873275253E-2</v>
      </c>
    </row>
    <row r="93" spans="1:8" x14ac:dyDescent="0.6">
      <c r="A93" s="1">
        <v>89</v>
      </c>
      <c r="B93">
        <f t="shared" si="3"/>
        <v>7.5303320547927619E-50</v>
      </c>
      <c r="D93" s="1">
        <v>89</v>
      </c>
      <c r="E93">
        <f t="shared" si="4"/>
        <v>1.1172621589742489E-16</v>
      </c>
      <c r="G93" s="1">
        <v>89</v>
      </c>
      <c r="H93">
        <f t="shared" si="5"/>
        <v>6.878495392328242E-3</v>
      </c>
    </row>
    <row r="94" spans="1:8" x14ac:dyDescent="0.6">
      <c r="A94" s="1">
        <v>90</v>
      </c>
      <c r="B94">
        <f t="shared" si="3"/>
        <v>2.300934794520024E-51</v>
      </c>
      <c r="D94" s="1">
        <v>90</v>
      </c>
      <c r="E94">
        <f t="shared" si="4"/>
        <v>1.3655426387462979E-17</v>
      </c>
      <c r="G94" s="1">
        <v>90</v>
      </c>
      <c r="H94">
        <f t="shared" si="5"/>
        <v>3.3628199695826867E-3</v>
      </c>
    </row>
    <row r="95" spans="1:8" x14ac:dyDescent="0.6">
      <c r="A95" s="1">
        <v>91</v>
      </c>
      <c r="B95">
        <f t="shared" si="3"/>
        <v>6.3212494354946341E-53</v>
      </c>
      <c r="D95" s="1">
        <v>91</v>
      </c>
      <c r="E95">
        <f t="shared" si="4"/>
        <v>1.5005963063146224E-18</v>
      </c>
      <c r="G95" s="1">
        <v>91</v>
      </c>
      <c r="H95">
        <f t="shared" si="5"/>
        <v>1.4781626239923913E-3</v>
      </c>
    </row>
    <row r="96" spans="1:8" x14ac:dyDescent="0.6">
      <c r="A96" s="1">
        <v>92</v>
      </c>
      <c r="B96">
        <f t="shared" si="3"/>
        <v>1.5459577423763904E-54</v>
      </c>
      <c r="D96" s="1">
        <v>92</v>
      </c>
      <c r="E96">
        <f t="shared" si="4"/>
        <v>1.4679746474816979E-19</v>
      </c>
      <c r="G96" s="1">
        <v>92</v>
      </c>
      <c r="H96">
        <f t="shared" si="5"/>
        <v>5.7841146156224093E-4</v>
      </c>
    </row>
    <row r="97" spans="1:8" x14ac:dyDescent="0.6">
      <c r="A97" s="1">
        <v>93</v>
      </c>
      <c r="B97">
        <f t="shared" si="3"/>
        <v>3.3246403061858498E-56</v>
      </c>
      <c r="D97" s="1">
        <v>93</v>
      </c>
      <c r="E97">
        <f t="shared" si="4"/>
        <v>1.2627738903068301E-20</v>
      </c>
      <c r="G97" s="1">
        <v>93</v>
      </c>
      <c r="H97">
        <f t="shared" si="5"/>
        <v>1.9902329860206126E-4</v>
      </c>
    </row>
    <row r="98" spans="1:8" x14ac:dyDescent="0.6">
      <c r="A98" s="1">
        <v>94</v>
      </c>
      <c r="B98">
        <f t="shared" si="3"/>
        <v>6.1894899317290029E-58</v>
      </c>
      <c r="D98" s="1">
        <v>94</v>
      </c>
      <c r="E98">
        <f t="shared" si="4"/>
        <v>9.4036353533488793E-22</v>
      </c>
      <c r="G98" s="1">
        <v>94</v>
      </c>
      <c r="H98">
        <f t="shared" si="5"/>
        <v>5.9283535753805565E-5</v>
      </c>
    </row>
    <row r="99" spans="1:8" x14ac:dyDescent="0.6">
      <c r="A99" s="1">
        <v>95</v>
      </c>
      <c r="B99">
        <f t="shared" si="3"/>
        <v>9.7728788395717222E-60</v>
      </c>
      <c r="D99" s="1">
        <v>95</v>
      </c>
      <c r="E99">
        <f t="shared" si="4"/>
        <v>5.9391381179045101E-23</v>
      </c>
      <c r="G99" s="1">
        <v>95</v>
      </c>
      <c r="H99">
        <f t="shared" si="5"/>
        <v>1.4976893243066663E-5</v>
      </c>
    </row>
    <row r="100" spans="1:8" x14ac:dyDescent="0.6">
      <c r="A100" s="1">
        <v>96</v>
      </c>
      <c r="B100">
        <f t="shared" si="3"/>
        <v>1.2725102655692765E-61</v>
      </c>
      <c r="D100" s="1">
        <v>96</v>
      </c>
      <c r="E100">
        <f t="shared" si="4"/>
        <v>3.0933011030752697E-24</v>
      </c>
      <c r="G100" s="1">
        <v>96</v>
      </c>
      <c r="H100">
        <f t="shared" si="5"/>
        <v>3.1201860923055643E-6</v>
      </c>
    </row>
    <row r="101" spans="1:8" x14ac:dyDescent="0.6">
      <c r="A101" s="1">
        <v>97</v>
      </c>
      <c r="B101">
        <f t="shared" si="3"/>
        <v>1.3118662531641892E-63</v>
      </c>
      <c r="D101" s="1">
        <v>97</v>
      </c>
      <c r="E101">
        <f t="shared" si="4"/>
        <v>1.2755880837423889E-25</v>
      </c>
      <c r="G101" s="1">
        <v>97</v>
      </c>
      <c r="H101">
        <f t="shared" si="5"/>
        <v>5.1466987089576095E-7</v>
      </c>
    </row>
    <row r="102" spans="1:8" x14ac:dyDescent="0.6">
      <c r="A102" s="1">
        <v>98</v>
      </c>
      <c r="B102">
        <f t="shared" si="3"/>
        <v>1.0039792753807395E-65</v>
      </c>
      <c r="D102" s="1">
        <v>98</v>
      </c>
      <c r="E102">
        <f t="shared" si="4"/>
        <v>3.9048614808440493E-27</v>
      </c>
      <c r="G102" s="1">
        <v>98</v>
      </c>
      <c r="H102">
        <f t="shared" si="5"/>
        <v>6.3020800517848304E-8</v>
      </c>
    </row>
    <row r="103" spans="1:8" x14ac:dyDescent="0.6">
      <c r="A103" s="1">
        <v>99</v>
      </c>
      <c r="B103">
        <f t="shared" si="3"/>
        <v>5.0706024009128596E-68</v>
      </c>
      <c r="D103" s="1">
        <v>99</v>
      </c>
      <c r="E103">
        <f t="shared" si="4"/>
        <v>7.8886090522101158E-29</v>
      </c>
      <c r="G103" s="1">
        <v>99</v>
      </c>
      <c r="H103">
        <f t="shared" si="5"/>
        <v>5.0925899408362083E-9</v>
      </c>
    </row>
    <row r="104" spans="1:8" x14ac:dyDescent="0.6">
      <c r="A104" s="1">
        <v>100</v>
      </c>
      <c r="B104">
        <f t="shared" si="3"/>
        <v>1.2676506002282355E-70</v>
      </c>
      <c r="D104" s="1">
        <v>100</v>
      </c>
      <c r="E104">
        <f t="shared" si="4"/>
        <v>7.8886090522101049E-31</v>
      </c>
      <c r="G104" s="1">
        <v>100</v>
      </c>
      <c r="H104">
        <f t="shared" si="5"/>
        <v>2.0370359763344954E-10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 trials</vt:lpstr>
      <vt:lpstr>100 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Lassiter, William B</dc:creator>
  <cp:lastModifiedBy>Lassiter, William B</cp:lastModifiedBy>
  <dcterms:created xsi:type="dcterms:W3CDTF">2024-06-05T13:52:48Z</dcterms:created>
  <dcterms:modified xsi:type="dcterms:W3CDTF">2024-11-07T17:30:00Z</dcterms:modified>
</cp:coreProperties>
</file>