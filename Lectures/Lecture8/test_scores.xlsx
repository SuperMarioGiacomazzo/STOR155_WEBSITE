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wlassite_ad_unc_edu/Documents/Documents/UNC Teaching/155/Materials for Sharing/Lecture Notes and Slides/Lecture 8 Linear Regression/"/>
    </mc:Choice>
  </mc:AlternateContent>
  <xr:revisionPtr revIDLastSave="75" documentId="11_F25DC773A252ABDACC10489CF1DB51AC5ADE58E6" xr6:coauthVersionLast="47" xr6:coauthVersionMax="47" xr10:uidLastSave="{C01D0F8E-4E0C-4ECD-B09C-EB2C0C82C86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13" i="1"/>
  <c r="C14" i="1"/>
  <c r="B14" i="1"/>
  <c r="B13" i="1"/>
  <c r="B16" i="1"/>
  <c r="E5" i="1" l="1"/>
  <c r="E3" i="1"/>
  <c r="E4" i="1"/>
  <c r="E7" i="1"/>
  <c r="E9" i="1" l="1"/>
  <c r="E8" i="1"/>
  <c r="E6" i="1"/>
</calcChain>
</file>

<file path=xl/sharedStrings.xml><?xml version="1.0" encoding="utf-8"?>
<sst xmlns="http://schemas.openxmlformats.org/spreadsheetml/2006/main" count="15" uniqueCount="15">
  <si>
    <t>Student</t>
  </si>
  <si>
    <t>Test 2</t>
  </si>
  <si>
    <t>Average</t>
  </si>
  <si>
    <t>Std Dev</t>
  </si>
  <si>
    <t>Correlation</t>
  </si>
  <si>
    <t>Regression Parameters</t>
  </si>
  <si>
    <t>b0</t>
  </si>
  <si>
    <t>b1</t>
  </si>
  <si>
    <t>Summary Statistics</t>
  </si>
  <si>
    <t>Variance of actual final grades</t>
  </si>
  <si>
    <t>Variance of predicted final grades</t>
  </si>
  <si>
    <t>r^2</t>
  </si>
  <si>
    <t>Ratio</t>
  </si>
  <si>
    <t>Actual Final Grade</t>
  </si>
  <si>
    <t>Predicted 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</si>
</sst>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79</c:v>
                </c:pt>
                <c:pt idx="1">
                  <c:v>81</c:v>
                </c:pt>
                <c:pt idx="2">
                  <c:v>72</c:v>
                </c:pt>
                <c:pt idx="3">
                  <c:v>81</c:v>
                </c:pt>
                <c:pt idx="4">
                  <c:v>68</c:v>
                </c:pt>
                <c:pt idx="5">
                  <c:v>79</c:v>
                </c:pt>
                <c:pt idx="6">
                  <c:v>87.5</c:v>
                </c:pt>
                <c:pt idx="7">
                  <c:v>76.5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72.5</c:v>
                </c:pt>
                <c:pt idx="1">
                  <c:v>70</c:v>
                </c:pt>
                <c:pt idx="2">
                  <c:v>72.5</c:v>
                </c:pt>
                <c:pt idx="3">
                  <c:v>85</c:v>
                </c:pt>
                <c:pt idx="4">
                  <c:v>72.5</c:v>
                </c:pt>
                <c:pt idx="5">
                  <c:v>87.5</c:v>
                </c:pt>
                <c:pt idx="6">
                  <c:v>85</c:v>
                </c:pt>
                <c:pt idx="7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9-49DE-9C44-AC64BEDA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674272"/>
        <c:axId val="1149119792"/>
      </c:scatterChart>
      <c:valAx>
        <c:axId val="744674272"/>
        <c:scaling>
          <c:orientation val="minMax"/>
          <c:max val="90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</a:t>
                </a:r>
                <a:r>
                  <a:rPr lang="en-US" baseline="0"/>
                  <a:t> 2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19792"/>
        <c:crosses val="autoZero"/>
        <c:crossBetween val="midCat"/>
      </c:valAx>
      <c:valAx>
        <c:axId val="1149119792"/>
        <c:scaling>
          <c:orientation val="minMax"/>
          <c:max val="90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67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7144</xdr:colOff>
      <xdr:row>10</xdr:row>
      <xdr:rowOff>2381</xdr:rowOff>
    </xdr:from>
    <xdr:to>
      <xdr:col>14</xdr:col>
      <xdr:colOff>45244</xdr:colOff>
      <xdr:row>25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58C97-3330-87B2-1F54-10DE6131D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3" sqref="E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13</v>
      </c>
      <c r="E1" t="s">
        <v>14</v>
      </c>
    </row>
    <row r="2" spans="1:10" x14ac:dyDescent="0.35">
      <c r="A2" s="1">
        <v>1</v>
      </c>
      <c r="B2">
        <v>79</v>
      </c>
      <c r="C2">
        <v>72.5</v>
      </c>
      <c r="E2">
        <f>$F$13+$F$15*B2</f>
        <v>0</v>
      </c>
      <c r="H2" t="s">
        <v>9</v>
      </c>
    </row>
    <row r="3" spans="1:10" x14ac:dyDescent="0.35">
      <c r="A3" s="1">
        <v>2</v>
      </c>
      <c r="B3">
        <v>81</v>
      </c>
      <c r="C3">
        <v>70</v>
      </c>
      <c r="E3">
        <f t="shared" ref="E3:E9" si="0">$F$13+$F$15*B3</f>
        <v>0</v>
      </c>
    </row>
    <row r="4" spans="1:10" x14ac:dyDescent="0.35">
      <c r="A4" s="1">
        <v>3</v>
      </c>
      <c r="B4">
        <v>72</v>
      </c>
      <c r="C4">
        <v>72.5</v>
      </c>
      <c r="E4">
        <f t="shared" si="0"/>
        <v>0</v>
      </c>
      <c r="H4" t="s">
        <v>10</v>
      </c>
    </row>
    <row r="5" spans="1:10" x14ac:dyDescent="0.35">
      <c r="A5" s="1">
        <v>4</v>
      </c>
      <c r="B5">
        <v>81</v>
      </c>
      <c r="C5">
        <v>85</v>
      </c>
      <c r="E5">
        <f t="shared" si="0"/>
        <v>0</v>
      </c>
    </row>
    <row r="6" spans="1:10" x14ac:dyDescent="0.35">
      <c r="A6" s="1">
        <v>5</v>
      </c>
      <c r="B6">
        <v>68</v>
      </c>
      <c r="C6">
        <v>72.5</v>
      </c>
      <c r="E6">
        <f t="shared" si="0"/>
        <v>0</v>
      </c>
      <c r="J6" t="s">
        <v>12</v>
      </c>
    </row>
    <row r="7" spans="1:10" x14ac:dyDescent="0.35">
      <c r="A7" s="1">
        <v>6</v>
      </c>
      <c r="B7">
        <v>79</v>
      </c>
      <c r="C7">
        <v>87.5</v>
      </c>
      <c r="E7">
        <f t="shared" si="0"/>
        <v>0</v>
      </c>
    </row>
    <row r="8" spans="1:10" x14ac:dyDescent="0.35">
      <c r="A8" s="1">
        <v>7</v>
      </c>
      <c r="B8">
        <v>87.5</v>
      </c>
      <c r="C8">
        <v>85</v>
      </c>
      <c r="E8">
        <f t="shared" si="0"/>
        <v>0</v>
      </c>
      <c r="J8" t="s">
        <v>11</v>
      </c>
    </row>
    <row r="9" spans="1:10" x14ac:dyDescent="0.35">
      <c r="A9" s="1">
        <v>8</v>
      </c>
      <c r="B9">
        <v>76.5</v>
      </c>
      <c r="C9">
        <v>80</v>
      </c>
      <c r="E9">
        <f t="shared" si="0"/>
        <v>0</v>
      </c>
    </row>
    <row r="11" spans="1:10" x14ac:dyDescent="0.35">
      <c r="A11" t="s">
        <v>8</v>
      </c>
      <c r="E11" t="s">
        <v>5</v>
      </c>
    </row>
    <row r="13" spans="1:10" x14ac:dyDescent="0.35">
      <c r="A13" t="s">
        <v>2</v>
      </c>
      <c r="B13">
        <f>AVERAGE(B2:B9)</f>
        <v>78</v>
      </c>
      <c r="C13">
        <f>AVERAGE(C2:C9)</f>
        <v>78.125</v>
      </c>
      <c r="E13" t="s">
        <v>6</v>
      </c>
    </row>
    <row r="14" spans="1:10" x14ac:dyDescent="0.35">
      <c r="A14" t="s">
        <v>3</v>
      </c>
      <c r="B14">
        <f>_xlfn.STDEV.S(B2:B9)</f>
        <v>5.9581876439064922</v>
      </c>
      <c r="C14">
        <f>_xlfn.STDEV.S(C2:C9)</f>
        <v>7.0394297658667941</v>
      </c>
    </row>
    <row r="15" spans="1:10" x14ac:dyDescent="0.35">
      <c r="E15" t="s">
        <v>7</v>
      </c>
    </row>
    <row r="16" spans="1:10" x14ac:dyDescent="0.35">
      <c r="A16" t="s">
        <v>4</v>
      </c>
      <c r="B16">
        <f>CORREL(B2:B9,C2:C9)</f>
        <v>0.51942176891648095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</dc:creator>
  <cp:lastModifiedBy>Lassiter, William B</cp:lastModifiedBy>
  <dcterms:created xsi:type="dcterms:W3CDTF">2015-06-05T18:17:20Z</dcterms:created>
  <dcterms:modified xsi:type="dcterms:W3CDTF">2024-09-10T19:10:37Z</dcterms:modified>
</cp:coreProperties>
</file>